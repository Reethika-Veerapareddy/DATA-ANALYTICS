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MITS\Downloads\"/>
    </mc:Choice>
  </mc:AlternateContent>
  <xr:revisionPtr revIDLastSave="0" documentId="13_ncr:1_{8074F144-1FF8-46E8-BF20-629668754A26}" xr6:coauthVersionLast="47" xr6:coauthVersionMax="47" xr10:uidLastSave="{00000000-0000-0000-0000-000000000000}"/>
  <bookViews>
    <workbookView xWindow="-120" yWindow="-120" windowWidth="29040" windowHeight="15720" xr2:uid="{77A08F48-2DAC-43EF-B644-C71986656A6B}"/>
  </bookViews>
  <sheets>
    <sheet name="Sheet1" sheetId="1" r:id="rId1"/>
  </sheets>
  <definedNames>
    <definedName name="Slicer_AGE_BIN">#N/A</definedName>
    <definedName name="Slicer_Gender">#N/A</definedName>
    <definedName name="Slicer_Place">#N/A</definedName>
  </definedNames>
  <calcPr calcId="191029"/>
  <pivotCaches>
    <pivotCache cacheId="0" r:id="rId2"/>
    <pivotCache cacheId="1" r:id="rId3"/>
    <pivotCache cacheId="1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3" i="1" l="1"/>
  <c r="G144" i="1"/>
  <c r="G145" i="1"/>
  <c r="G146" i="1"/>
  <c r="G147" i="1"/>
  <c r="G148" i="1"/>
  <c r="G149" i="1"/>
  <c r="G150" i="1"/>
  <c r="G151" i="1"/>
  <c r="G142" i="1"/>
  <c r="P36" i="1"/>
  <c r="O58" i="1"/>
  <c r="O60" i="1"/>
  <c r="O62" i="1"/>
  <c r="O64" i="1"/>
  <c r="O66" i="1"/>
  <c r="O68" i="1"/>
  <c r="O70" i="1"/>
  <c r="O52" i="1"/>
  <c r="O54" i="1"/>
  <c r="O56" i="1"/>
  <c r="O50" i="1"/>
  <c r="Z11" i="1"/>
  <c r="X11" i="1"/>
  <c r="Z28" i="1"/>
  <c r="X28" i="1"/>
  <c r="Z25" i="1"/>
  <c r="N42" i="1"/>
  <c r="N41" i="1" a="1"/>
  <c r="N41" i="1" s="1"/>
  <c r="N40" i="1"/>
  <c r="Y37" i="1"/>
  <c r="Y36" i="1"/>
  <c r="X36" i="1"/>
  <c r="W36" i="1"/>
  <c r="U36" i="1"/>
  <c r="V36" i="1"/>
  <c r="T36" i="1"/>
  <c r="S37" i="1"/>
  <c r="S36" i="1"/>
  <c r="R37" i="1"/>
  <c r="R36" i="1"/>
  <c r="Q36" i="1"/>
  <c r="N36" i="1"/>
  <c r="M37" i="1"/>
  <c r="L37" i="1"/>
  <c r="M36" i="1"/>
  <c r="L36" i="1"/>
  <c r="H10" i="1"/>
  <c r="J10" i="1"/>
  <c r="L10" i="1"/>
  <c r="J11" i="1"/>
  <c r="L11" i="1"/>
  <c r="H24" i="1"/>
  <c r="M24" i="1" s="1"/>
  <c r="I24" i="1"/>
  <c r="J24" i="1"/>
  <c r="K24" i="1"/>
  <c r="L24" i="1"/>
  <c r="H25" i="1"/>
  <c r="M25" i="1" s="1"/>
  <c r="I25" i="1"/>
  <c r="J25" i="1"/>
  <c r="K25" i="1"/>
  <c r="L25" i="1"/>
  <c r="H26" i="1"/>
  <c r="M26" i="1" s="1"/>
  <c r="I26" i="1"/>
  <c r="J26" i="1"/>
  <c r="K26" i="1"/>
  <c r="L26" i="1"/>
  <c r="H27" i="1"/>
  <c r="M27" i="1" s="1"/>
  <c r="I27" i="1"/>
  <c r="J27" i="1"/>
  <c r="K27" i="1"/>
  <c r="L27" i="1"/>
  <c r="H28" i="1"/>
  <c r="M28" i="1" s="1"/>
  <c r="I28" i="1"/>
  <c r="J28" i="1"/>
  <c r="K28" i="1"/>
  <c r="L28" i="1"/>
  <c r="G28" i="1"/>
  <c r="G27" i="1"/>
  <c r="G26" i="1"/>
  <c r="G25" i="1"/>
  <c r="G24" i="1"/>
  <c r="X25" i="1"/>
  <c r="X14" i="1"/>
  <c r="V11" i="1"/>
  <c r="S28" i="1"/>
  <c r="S27" i="1"/>
  <c r="S26" i="1"/>
  <c r="S25" i="1"/>
  <c r="S24" i="1"/>
  <c r="S23" i="1"/>
  <c r="T18" i="1"/>
  <c r="T16" i="1"/>
  <c r="T15" i="1"/>
  <c r="T17" i="1" s="1"/>
  <c r="Z14" i="1"/>
  <c r="T20" i="1" s="1"/>
  <c r="AB17" i="1"/>
  <c r="Z17" i="1"/>
  <c r="X17" i="1"/>
  <c r="V17" i="1"/>
  <c r="V14" i="1"/>
  <c r="F10" i="1"/>
  <c r="T19"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<sst xmlns="http://schemas.openxmlformats.org/spreadsheetml/2006/main" count="511" uniqueCount="286">
  <si>
    <t>ID</t>
  </si>
  <si>
    <t>NAME</t>
  </si>
  <si>
    <t>SALARY</t>
  </si>
  <si>
    <t>A</t>
  </si>
  <si>
    <t>B</t>
  </si>
  <si>
    <t>C</t>
  </si>
  <si>
    <t>D</t>
  </si>
  <si>
    <t>E</t>
  </si>
  <si>
    <t>F</t>
  </si>
  <si>
    <t>G</t>
  </si>
  <si>
    <t>H</t>
  </si>
  <si>
    <t>I</t>
  </si>
  <si>
    <t>J</t>
  </si>
  <si>
    <t>VLOOKUP</t>
  </si>
  <si>
    <t>HLOOKUP</t>
  </si>
  <si>
    <t>INDEX</t>
  </si>
  <si>
    <t>MATCH</t>
  </si>
  <si>
    <t>PRODUCT</t>
  </si>
  <si>
    <t>COLOR</t>
  </si>
  <si>
    <t>REGION</t>
  </si>
  <si>
    <t>VALUE</t>
  </si>
  <si>
    <t>PEN</t>
  </si>
  <si>
    <t>BLUE</t>
  </si>
  <si>
    <t>AP</t>
  </si>
  <si>
    <t>PENCIL</t>
  </si>
  <si>
    <t>WHITE</t>
  </si>
  <si>
    <t>KN</t>
  </si>
  <si>
    <t>BOOK</t>
  </si>
  <si>
    <t>TOTAL</t>
  </si>
  <si>
    <t>FIND</t>
  </si>
  <si>
    <t>REPLACE</t>
  </si>
  <si>
    <t>REETHU VEERA</t>
  </si>
  <si>
    <t>SUBSTITUTE</t>
  </si>
  <si>
    <t>MID</t>
  </si>
  <si>
    <t>SEARCH</t>
  </si>
  <si>
    <t>CONCAT</t>
  </si>
  <si>
    <t>FACT</t>
  </si>
  <si>
    <t>ROUND</t>
  </si>
  <si>
    <t>MOD</t>
  </si>
  <si>
    <t>LENGTH</t>
  </si>
  <si>
    <t>MEDIAN</t>
  </si>
  <si>
    <t>RANK</t>
  </si>
  <si>
    <t>LEFT</t>
  </si>
  <si>
    <t>RIGHT</t>
  </si>
  <si>
    <t xml:space="preserve"> SUMIFS FROM ABOVE TABLE</t>
  </si>
  <si>
    <t>BLUE SUM</t>
  </si>
  <si>
    <t>BLUE+AP</t>
  </si>
  <si>
    <t>AVG</t>
  </si>
  <si>
    <t>AVGIF</t>
  </si>
  <si>
    <t>AVGIFS</t>
  </si>
  <si>
    <t>DATE</t>
  </si>
  <si>
    <t>CONDITIONAL OPERATIONS</t>
  </si>
  <si>
    <t>IF</t>
  </si>
  <si>
    <t>COMP IF</t>
  </si>
  <si>
    <t>AND</t>
  </si>
  <si>
    <t>OR</t>
  </si>
  <si>
    <t>NOT</t>
  </si>
  <si>
    <t>AGE</t>
  </si>
  <si>
    <t>CATEGORY</t>
  </si>
  <si>
    <t>MINOR</t>
  </si>
  <si>
    <t>MAJOR</t>
  </si>
  <si>
    <t>XOR</t>
  </si>
  <si>
    <t>RESULT</t>
  </si>
  <si>
    <t>STATISTICAL FUNCTIONS</t>
  </si>
  <si>
    <t>CUST NO</t>
  </si>
  <si>
    <t>BALANCE</t>
  </si>
  <si>
    <t>ESTIMATED BALANCE</t>
  </si>
  <si>
    <t>COUNT</t>
  </si>
  <si>
    <t>COUNTA</t>
  </si>
  <si>
    <t>COUNT BLANK</t>
  </si>
  <si>
    <t>COUNTIF</t>
  </si>
  <si>
    <t>COUNTIFS</t>
  </si>
  <si>
    <t>MEAN</t>
  </si>
  <si>
    <t>MODE</t>
  </si>
  <si>
    <t>STDEVS</t>
  </si>
  <si>
    <t>VARS</t>
  </si>
  <si>
    <t>STDEVP</t>
  </si>
  <si>
    <t>VARP</t>
  </si>
  <si>
    <t>Column1</t>
  </si>
  <si>
    <t>Column2</t>
  </si>
  <si>
    <t>Column3</t>
  </si>
  <si>
    <t>Column4</t>
  </si>
  <si>
    <t>Column5</t>
  </si>
  <si>
    <t>CORRELATION</t>
  </si>
  <si>
    <t>GENDER</t>
  </si>
  <si>
    <t>ENCODE</t>
  </si>
  <si>
    <t>MALE</t>
  </si>
  <si>
    <t>FEMALE</t>
  </si>
  <si>
    <t>EOMONTH</t>
  </si>
  <si>
    <t>NETWORK DAYS</t>
  </si>
  <si>
    <t>WEEKDAY</t>
  </si>
  <si>
    <t>FORMATTING</t>
  </si>
  <si>
    <t>RowNumber</t>
  </si>
  <si>
    <t>CustomerId</t>
  </si>
  <si>
    <t>Surname</t>
  </si>
  <si>
    <t>CreditScore</t>
  </si>
  <si>
    <t>Geography</t>
  </si>
  <si>
    <t>Gender</t>
  </si>
  <si>
    <t>Age</t>
  </si>
  <si>
    <t>Tenure</t>
  </si>
  <si>
    <t>Balance</t>
  </si>
  <si>
    <t>NumOfProducts</t>
  </si>
  <si>
    <t>HasCrCard</t>
  </si>
  <si>
    <t>IsActiveMember</t>
  </si>
  <si>
    <t>EstimatedSalary</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</si>
  <si>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</si>
  <si>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</si>
  <si>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</si>
  <si>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</si>
  <si>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</si>
  <si>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</si>
  <si>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</si>
  <si>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</si>
  <si>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</si>
  <si>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</si>
  <si>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</si>
  <si>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</si>
  <si>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</si>
  <si>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</si>
  <si>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</si>
  <si>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</si>
  <si>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</si>
  <si>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</si>
  <si>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</si>
  <si>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</si>
  <si>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</si>
  <si>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</si>
  <si>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</si>
  <si>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</si>
  <si>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</si>
  <si>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</si>
  <si>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</si>
  <si>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</si>
  <si>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NUMBER</t>
  </si>
  <si>
    <t>#.0</t>
  </si>
  <si>
    <t>#.000</t>
  </si>
  <si>
    <t>#.00</t>
  </si>
  <si>
    <t>CONDITINAL FORMATTING</t>
  </si>
  <si>
    <t>BETWEEN</t>
  </si>
  <si>
    <t>GREATER</t>
  </si>
  <si>
    <t>EQUALTO</t>
  </si>
  <si>
    <t>TEXT</t>
  </si>
  <si>
    <t>REETHU</t>
  </si>
  <si>
    <t>HGFVVD</t>
  </si>
  <si>
    <t>FJB</t>
  </si>
  <si>
    <t>WHDF</t>
  </si>
  <si>
    <t>WEHGH</t>
  </si>
  <si>
    <t>FUYTD</t>
  </si>
  <si>
    <t>JFGHEW</t>
  </si>
  <si>
    <t>FDH</t>
  </si>
  <si>
    <t>KYHKU</t>
  </si>
  <si>
    <t>TOP</t>
  </si>
  <si>
    <t>BOTTOM</t>
  </si>
  <si>
    <t>PER</t>
  </si>
  <si>
    <t>DATA BARS</t>
  </si>
  <si>
    <t>DAY</t>
  </si>
  <si>
    <t>CITY</t>
  </si>
  <si>
    <t>ADDRESS</t>
  </si>
  <si>
    <t>WORK</t>
  </si>
  <si>
    <t>DOMAIN</t>
  </si>
  <si>
    <t>GEETHA</t>
  </si>
  <si>
    <t>SEETHA</t>
  </si>
  <si>
    <t xml:space="preserve">VEETHA </t>
  </si>
  <si>
    <t>SEETHU</t>
  </si>
  <si>
    <t>KEETHU</t>
  </si>
  <si>
    <t>NEETHU</t>
  </si>
  <si>
    <t>LEETHU</t>
  </si>
  <si>
    <t>MEETHU</t>
  </si>
  <si>
    <t>DATA</t>
  </si>
  <si>
    <t>DATA FORMATTING</t>
  </si>
  <si>
    <t>HR</t>
  </si>
  <si>
    <t>MANAGER</t>
  </si>
  <si>
    <t>EMPLOYEE</t>
  </si>
  <si>
    <t>MD</t>
  </si>
  <si>
    <t>CEO</t>
  </si>
  <si>
    <t>NEW RULE</t>
  </si>
  <si>
    <t>IMAGE</t>
  </si>
  <si>
    <t>NO</t>
  </si>
  <si>
    <t>PRICE</t>
  </si>
  <si>
    <t>https://www.freeiconspng.com/uploads/logo-whatsapp-png-file-15.png</t>
  </si>
  <si>
    <t>https://pngimg.com/uploads/instagram/instagram_PNG10.png</t>
  </si>
  <si>
    <t>https://tse1.mm.bing.net/th/id/OIP.ok8vkTsVLGwnwx2Hv13PhAHaE8?r=0&amp;w=847&amp;h=565&amp;rs=1&amp;pid=ImgDetMain&amp;o=7&amp;rm=3</t>
  </si>
  <si>
    <t>Temperature</t>
  </si>
  <si>
    <t>Pressure</t>
  </si>
  <si>
    <t>Replication</t>
  </si>
  <si>
    <t>Yield</t>
  </si>
  <si>
    <t>Low</t>
  </si>
  <si>
    <t>Medium</t>
  </si>
  <si>
    <t>High</t>
  </si>
  <si>
    <t>VAL</t>
  </si>
  <si>
    <t>Anova: Two-Factor With Replication</t>
  </si>
  <si>
    <t>SUMMARY</t>
  </si>
  <si>
    <t>Total</t>
  </si>
  <si>
    <t>Count</t>
  </si>
  <si>
    <t>Sum</t>
  </si>
  <si>
    <t>Average</t>
  </si>
  <si>
    <t>Variance</t>
  </si>
  <si>
    <t>ANOVA</t>
  </si>
  <si>
    <t>Source of Variation</t>
  </si>
  <si>
    <t>SS</t>
  </si>
  <si>
    <t>df</t>
  </si>
  <si>
    <t>MS</t>
  </si>
  <si>
    <t>P-value</t>
  </si>
  <si>
    <t>F crit</t>
  </si>
  <si>
    <t>Sample</t>
  </si>
  <si>
    <t>Columns</t>
  </si>
  <si>
    <t>Interaction</t>
  </si>
  <si>
    <t>Within</t>
  </si>
  <si>
    <t>Anova: Two-Factor Without Replication</t>
  </si>
  <si>
    <t>Rows</t>
  </si>
  <si>
    <t>Error</t>
  </si>
  <si>
    <t>Mean</t>
  </si>
  <si>
    <t>Standard Error</t>
  </si>
  <si>
    <t>Median</t>
  </si>
  <si>
    <t>Mode</t>
  </si>
  <si>
    <t>Standard Deviation</t>
  </si>
  <si>
    <t>Sample Variance</t>
  </si>
  <si>
    <t>Kurtosis</t>
  </si>
  <si>
    <t>Skewness</t>
  </si>
  <si>
    <t>Range</t>
  </si>
  <si>
    <t>Minimum</t>
  </si>
  <si>
    <t>Maximum</t>
  </si>
  <si>
    <t>t-Test: Paired Two Sample for Means</t>
  </si>
  <si>
    <t>Observations</t>
  </si>
  <si>
    <t>Pearson Correlation</t>
  </si>
  <si>
    <t>Hypothesized Mean Difference</t>
  </si>
  <si>
    <t>t Stat</t>
  </si>
  <si>
    <t>P(T&lt;=t) one-tail</t>
  </si>
  <si>
    <t>t Critical one-tail</t>
  </si>
  <si>
    <t>P(T&lt;=t) two-tail</t>
  </si>
  <si>
    <t>t Critical two-tail</t>
  </si>
  <si>
    <t xml:space="preserve">STATISTICAL ANALYSIS </t>
  </si>
  <si>
    <t>Anova: Single Factor</t>
  </si>
  <si>
    <t>Groups</t>
  </si>
  <si>
    <t>Between Groups</t>
  </si>
  <si>
    <t>Within Groups</t>
  </si>
  <si>
    <t>DESCRIPTIVE ANALYSIS</t>
  </si>
  <si>
    <t>CTRL+1</t>
  </si>
  <si>
    <t>With Replication</t>
  </si>
  <si>
    <t>store1</t>
  </si>
  <si>
    <t>store2</t>
  </si>
  <si>
    <t>store3</t>
  </si>
  <si>
    <t>product</t>
  </si>
  <si>
    <t>mobilr</t>
  </si>
  <si>
    <t>buds</t>
  </si>
  <si>
    <t>laptop</t>
  </si>
  <si>
    <t>without replication</t>
  </si>
  <si>
    <t>city</t>
  </si>
  <si>
    <t>male</t>
  </si>
  <si>
    <t>female</t>
  </si>
  <si>
    <t>pune</t>
  </si>
  <si>
    <t>ap</t>
  </si>
  <si>
    <t>beng</t>
  </si>
  <si>
    <t>tn</t>
  </si>
  <si>
    <t>PIVOT TABLES AND CHARTS</t>
  </si>
  <si>
    <t>Ravi</t>
  </si>
  <si>
    <t>Priya</t>
  </si>
  <si>
    <t>Arjun</t>
  </si>
  <si>
    <t>Sneha</t>
  </si>
  <si>
    <t>Row Labels</t>
  </si>
  <si>
    <t>Grand Total</t>
  </si>
  <si>
    <t>Name</t>
  </si>
  <si>
    <t>Place</t>
  </si>
  <si>
    <t>Salary</t>
  </si>
  <si>
    <t>Total Salary</t>
  </si>
  <si>
    <t>Guntur</t>
  </si>
  <si>
    <t>Vijayawada</t>
  </si>
  <si>
    <t>Hyderabad</t>
  </si>
  <si>
    <t>Visakhapatnam</t>
  </si>
  <si>
    <t>Kiran</t>
  </si>
  <si>
    <t>Anjali</t>
  </si>
  <si>
    <t>Tirupati</t>
  </si>
  <si>
    <t>Rohit</t>
  </si>
  <si>
    <t>Divya</t>
  </si>
  <si>
    <t>Varun</t>
  </si>
  <si>
    <t>Keerthi</t>
  </si>
  <si>
    <t>Sum of Salary</t>
  </si>
  <si>
    <t>Sum of Total Salary</t>
  </si>
  <si>
    <t>Sum of Sum of Total Salary</t>
  </si>
  <si>
    <t>Sum of Sum of Salary</t>
  </si>
  <si>
    <t>AGE BIN</t>
  </si>
  <si>
    <t>(All)</t>
  </si>
  <si>
    <t>Sum of Age</t>
  </si>
  <si>
    <t>MALE FEMALE FILTER</t>
  </si>
  <si>
    <t>MAJOR MINOR FILTER</t>
  </si>
  <si>
    <t>CONNECTED THESE 2 SLICERS USING RIGHT CLICK=&gt;REPORT CONECTIONS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</si>
</sst>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F800]dddd\,\ mmmm\ dd\,\ yyyy"/>
    <numFmt numFmtId="165" formatCode="&quot;₹&quot;\ #,##0.00;[Red]&quot;₹&quot;\ #,##0.00"/>
    <numFmt numFmtId="166" formatCode="0.0%"/>
    <numFmt numFmtId="167" formatCode="[$-14009]yyyy/mm/dd;@"/>
    <numFmt numFmtId="168" formatCode="#,##0;#,##0;;"/>
    <numFmt numFmtId="169" formatCode="0.0"/>
    <numFmt numFmtId="170" formatCode="#.0"/>
    <numFmt numFmtId="171" formatCode="#.00"/>
    <numFmt numFmtId="172" formatCode="#.000"/>
    <numFmt numFmtId="173" formatCode="#,##0_ ;[Red]\-#,##0\ "/>
    <numFmt numFmtId="174" formatCode="#,##0;##0;"/>
    <numFmt numFmtId="175" formatCode="#,##0;\-#,##0\ &quot;NEG&quot;;"/>
    <numFmt numFmtId="176" formatCode="##,#0#,##0;"/>
  </numFmts>
  <fonts count="16"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rgb="FFFA7D00"/>
      <name val="Calibri"/>
      <family val="2"/>
      <scheme val="minor"/>
    </font>
    <font>
      <b/>
      <sz val="11"/>
      <color theme="0"/>
      <name val="Calibri"/>
      <family val="2"/>
      <scheme val="minor"/>
    </font>
    <font>
      <sz val="11"/>
      <color theme="0"/>
      <name val="Calibri"/>
      <family val="2"/>
      <scheme val="minor"/>
    </font>
    <font>
      <sz val="11"/>
      <color rgb="FF3F3F76"/>
      <name val="Calibri"/>
      <family val="2"/>
      <scheme val="minor"/>
    </font>
    <font>
      <sz val="11"/>
      <color rgb="FFC00000"/>
      <name val="Calibri"/>
      <family val="2"/>
      <scheme val="minor"/>
    </font>
    <font>
      <i/>
      <sz val="11"/>
      <color theme="1"/>
      <name val="Times New Roman"/>
      <family val="1"/>
    </font>
    <font>
      <u/>
      <sz val="11"/>
      <color theme="10"/>
      <name val="Calibri"/>
      <family val="2"/>
      <scheme val="minor"/>
    </font>
    <font>
      <b/>
      <sz val="15"/>
      <color theme="3"/>
      <name val="Calibri"/>
      <family val="2"/>
      <scheme val="minor"/>
    </font>
    <font>
      <i/>
      <sz val="11"/>
      <color theme="1"/>
      <name val="Calibri"/>
      <family val="2"/>
      <scheme val="minor"/>
    </font>
    <font>
      <i/>
      <sz val="10"/>
      <color theme="1"/>
      <name val="Calibri"/>
      <family val="2"/>
      <scheme val="minor"/>
    </font>
    <font>
      <b/>
      <sz val="13"/>
      <color theme="3"/>
      <name val="Calibri"/>
      <family val="2"/>
      <scheme val="minor"/>
    </font>
  </fonts>
  <fills count="3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theme="4"/>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0"/>
        <bgColor indexed="64"/>
      </patternFill>
    </fill>
    <fill>
      <patternFill patternType="solid">
        <fgColor rgb="FFFFCC99"/>
      </patternFill>
    </fill>
    <fill>
      <patternFill patternType="solid">
        <fgColor rgb="FFFFFFCC"/>
      </patternFill>
    </fill>
    <fill>
      <patternFill patternType="solid">
        <fgColor theme="4" tint="0.39997558519241921"/>
        <bgColor indexed="65"/>
      </patternFill>
    </fill>
    <fill>
      <patternFill patternType="solid">
        <fgColor theme="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patternFill>
    </fill>
    <fill>
      <patternFill patternType="solid">
        <fgColor theme="7" tint="0.59999389629810485"/>
        <bgColor indexed="65"/>
      </patternFill>
    </fill>
    <fill>
      <patternFill patternType="solid">
        <fgColor theme="9"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39994506668294322"/>
        <bgColor indexed="64"/>
      </patternFill>
    </fill>
    <fill>
      <patternFill patternType="solid">
        <fgColor theme="5" tint="0.39994506668294322"/>
        <bgColor indexed="64"/>
      </patternFill>
    </fill>
    <fill>
      <patternFill patternType="solid">
        <fgColor theme="9" tint="0.39997558519241921"/>
        <bgColor indexed="65"/>
      </patternFill>
    </fill>
  </fills>
  <borders count="2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medium">
        <color rgb="FFCCCCCC"/>
      </left>
      <right style="medium">
        <color rgb="FFCCCCCC"/>
      </right>
      <top style="medium">
        <color rgb="FFCCCCCC"/>
      </top>
      <bottom style="medium">
        <color rgb="FFCCCCCC"/>
      </bottom>
      <diagonal/>
    </border>
    <border>
      <left style="dashed">
        <color auto="1"/>
      </left>
      <right style="dashed">
        <color auto="1"/>
      </right>
      <top style="dashed">
        <color auto="1"/>
      </top>
      <bottom style="dashed">
        <color auto="1"/>
      </bottom>
      <diagonal/>
    </border>
    <border>
      <left style="thick">
        <color auto="1"/>
      </left>
      <right style="dashed">
        <color auto="1"/>
      </right>
      <top style="thick">
        <color auto="1"/>
      </top>
      <bottom style="dashed">
        <color auto="1"/>
      </bottom>
      <diagonal/>
    </border>
    <border>
      <left style="dashed">
        <color auto="1"/>
      </left>
      <right style="dashed">
        <color auto="1"/>
      </right>
      <top style="thick">
        <color auto="1"/>
      </top>
      <bottom style="dashed">
        <color auto="1"/>
      </bottom>
      <diagonal/>
    </border>
    <border>
      <left style="dashed">
        <color auto="1"/>
      </left>
      <right style="thick">
        <color auto="1"/>
      </right>
      <top style="thick">
        <color auto="1"/>
      </top>
      <bottom style="dashed">
        <color auto="1"/>
      </bottom>
      <diagonal/>
    </border>
    <border>
      <left style="thick">
        <color auto="1"/>
      </left>
      <right style="dashed">
        <color auto="1"/>
      </right>
      <top style="dashed">
        <color auto="1"/>
      </top>
      <bottom style="dashed">
        <color auto="1"/>
      </bottom>
      <diagonal/>
    </border>
    <border>
      <left style="dashed">
        <color auto="1"/>
      </left>
      <right style="thick">
        <color auto="1"/>
      </right>
      <top style="dashed">
        <color auto="1"/>
      </top>
      <bottom style="dashed">
        <color auto="1"/>
      </bottom>
      <diagonal/>
    </border>
    <border>
      <left style="thick">
        <color auto="1"/>
      </left>
      <right style="dashed">
        <color auto="1"/>
      </right>
      <top style="dashed">
        <color auto="1"/>
      </top>
      <bottom style="thick">
        <color auto="1"/>
      </bottom>
      <diagonal/>
    </border>
    <border>
      <left style="dashed">
        <color auto="1"/>
      </left>
      <right style="dashed">
        <color auto="1"/>
      </right>
      <top style="dashed">
        <color auto="1"/>
      </top>
      <bottom style="thick">
        <color auto="1"/>
      </bottom>
      <diagonal/>
    </border>
    <border>
      <left style="dashed">
        <color auto="1"/>
      </left>
      <right style="thick">
        <color auto="1"/>
      </right>
      <top style="dashed">
        <color auto="1"/>
      </top>
      <bottom style="thick">
        <color auto="1"/>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medium">
        <color indexed="64"/>
      </bottom>
      <diagonal/>
    </border>
    <border>
      <left/>
      <right/>
      <top style="medium">
        <color indexed="64"/>
      </top>
      <bottom style="thin">
        <color indexed="64"/>
      </bottom>
      <diagonal/>
    </border>
    <border>
      <left/>
      <right/>
      <top/>
      <bottom style="medium">
        <color indexed="18"/>
      </bottom>
      <diagonal/>
    </border>
    <border>
      <left/>
      <right/>
      <top/>
      <bottom style="thick">
        <color theme="4" tint="0.499984740745262"/>
      </bottom>
      <diagonal/>
    </border>
  </borders>
  <cellStyleXfs count="29">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1" applyNumberFormat="0" applyAlignment="0" applyProtection="0"/>
    <xf numFmtId="0" fontId="6" fillId="6" borderId="2" applyNumberFormat="0" applyAlignment="0" applyProtection="0"/>
    <xf numFmtId="0" fontId="7" fillId="7" borderId="0" applyNumberFormat="0" applyBorder="0" applyAlignment="0" applyProtection="0"/>
    <xf numFmtId="0" fontId="1" fillId="8" borderId="0" applyNumberFormat="0" applyBorder="0" applyAlignment="0" applyProtection="0"/>
    <xf numFmtId="0" fontId="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7" fillId="13" borderId="0" applyNumberFormat="0" applyBorder="0" applyAlignment="0" applyProtection="0"/>
    <xf numFmtId="0" fontId="8" fillId="15" borderId="1" applyNumberFormat="0" applyAlignment="0" applyProtection="0"/>
    <xf numFmtId="0" fontId="1" fillId="16" borderId="3" applyNumberFormat="0" applyFont="0" applyAlignment="0" applyProtection="0"/>
    <xf numFmtId="0" fontId="1" fillId="17" borderId="0" applyNumberFormat="0" applyBorder="0" applyAlignment="0" applyProtection="0"/>
    <xf numFmtId="0" fontId="7"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7"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7" fillId="26" borderId="0" applyNumberFormat="0" applyBorder="0" applyAlignment="0" applyProtection="0"/>
    <xf numFmtId="0" fontId="11" fillId="0" borderId="0" applyNumberFormat="0" applyFill="0" applyBorder="0" applyAlignment="0" applyProtection="0"/>
    <xf numFmtId="0" fontId="12" fillId="0" borderId="24" applyNumberFormat="0" applyFill="0" applyAlignment="0" applyProtection="0"/>
    <xf numFmtId="0" fontId="1" fillId="29" borderId="0" applyNumberFormat="0" applyBorder="0" applyAlignment="0" applyProtection="0"/>
    <xf numFmtId="0" fontId="15" fillId="0" borderId="28" applyNumberFormat="0" applyFill="0" applyAlignment="0" applyProtection="0"/>
  </cellStyleXfs>
  <cellXfs count="116">
    <xf numFmtId="0" fontId="0" fillId="0" borderId="0" xfId="0"/>
    <xf numFmtId="0" fontId="2" fillId="2" borderId="0" xfId="1"/>
    <xf numFmtId="0" fontId="4" fillId="4" borderId="0" xfId="3"/>
    <xf numFmtId="0" fontId="3" fillId="3" borderId="0" xfId="2"/>
    <xf numFmtId="0" fontId="1" fillId="12" borderId="0" xfId="11"/>
    <xf numFmtId="0" fontId="5" fillId="5" borderId="1" xfId="4"/>
    <xf numFmtId="0" fontId="6" fillId="6" borderId="2" xfId="5"/>
    <xf numFmtId="0" fontId="4" fillId="4" borderId="1" xfId="3" applyBorder="1"/>
    <xf numFmtId="14" fontId="0" fillId="0" borderId="0" xfId="0" applyNumberFormat="1"/>
    <xf numFmtId="0" fontId="1" fillId="14" borderId="0" xfId="9" applyFill="1"/>
    <xf numFmtId="0" fontId="7" fillId="7" borderId="0" xfId="6"/>
    <xf numFmtId="0" fontId="7" fillId="13" borderId="0" xfId="12"/>
    <xf numFmtId="0" fontId="7" fillId="9" borderId="0" xfId="8"/>
    <xf numFmtId="0" fontId="1" fillId="8" borderId="0" xfId="7"/>
    <xf numFmtId="0" fontId="1" fillId="11" borderId="0" xfId="10"/>
    <xf numFmtId="0" fontId="0" fillId="0" borderId="4" xfId="0" applyBorder="1" applyAlignment="1">
      <alignment wrapText="1"/>
    </xf>
    <xf numFmtId="0" fontId="0" fillId="0" borderId="4" xfId="0" applyBorder="1" applyAlignment="1">
      <alignment vertical="center"/>
    </xf>
    <xf numFmtId="0" fontId="0" fillId="0" borderId="0" xfId="0" applyAlignment="1">
      <alignment wrapText="1"/>
    </xf>
    <xf numFmtId="0" fontId="3" fillId="3" borderId="4" xfId="2" applyBorder="1" applyAlignment="1">
      <alignment wrapText="1"/>
    </xf>
    <xf numFmtId="0" fontId="4" fillId="4" borderId="4" xfId="3" applyBorder="1" applyAlignment="1">
      <alignment wrapText="1"/>
    </xf>
    <xf numFmtId="0" fontId="2" fillId="2" borderId="4" xfId="1" applyBorder="1" applyAlignment="1">
      <alignment wrapText="1"/>
    </xf>
    <xf numFmtId="0" fontId="6" fillId="6" borderId="2" xfId="5" applyAlignment="1">
      <alignment wrapText="1"/>
    </xf>
    <xf numFmtId="0" fontId="7" fillId="18" borderId="4" xfId="16" applyBorder="1" applyAlignment="1">
      <alignment vertical="center"/>
    </xf>
    <xf numFmtId="0" fontId="7" fillId="22" borderId="0" xfId="20"/>
    <xf numFmtId="0" fontId="1" fillId="23" borderId="0" xfId="21"/>
    <xf numFmtId="0" fontId="1" fillId="17" borderId="0" xfId="15"/>
    <xf numFmtId="0" fontId="1" fillId="21" borderId="0" xfId="19"/>
    <xf numFmtId="0" fontId="1" fillId="24" borderId="0" xfId="22"/>
    <xf numFmtId="0" fontId="8" fillId="15" borderId="1" xfId="13"/>
    <xf numFmtId="0" fontId="1" fillId="20" borderId="0" xfId="18"/>
    <xf numFmtId="0" fontId="1" fillId="19" borderId="0" xfId="17"/>
    <xf numFmtId="0" fontId="0" fillId="16" borderId="3" xfId="14" applyFont="1"/>
    <xf numFmtId="0" fontId="1" fillId="25" borderId="0" xfId="23"/>
    <xf numFmtId="0" fontId="7" fillId="18" borderId="0" xfId="16"/>
    <xf numFmtId="0" fontId="7" fillId="26" borderId="0" xfId="24"/>
    <xf numFmtId="0" fontId="9" fillId="0" borderId="0" xfId="0" applyFont="1"/>
    <xf numFmtId="0" fontId="2" fillId="2" borderId="6" xfId="1" applyBorder="1"/>
    <xf numFmtId="0" fontId="2" fillId="2" borderId="7" xfId="1" applyBorder="1"/>
    <xf numFmtId="0" fontId="2" fillId="2" borderId="8" xfId="1" applyBorder="1"/>
    <xf numFmtId="0" fontId="0" fillId="0" borderId="15" xfId="0" applyBorder="1"/>
    <xf numFmtId="0" fontId="0" fillId="0" borderId="17" xfId="0" applyBorder="1"/>
    <xf numFmtId="1" fontId="0" fillId="0" borderId="18" xfId="0" applyNumberFormat="1" applyBorder="1"/>
    <xf numFmtId="169" fontId="0" fillId="0" borderId="18" xfId="0" applyNumberFormat="1" applyBorder="1"/>
    <xf numFmtId="170" fontId="0" fillId="0" borderId="18" xfId="0" applyNumberFormat="1" applyBorder="1"/>
    <xf numFmtId="2" fontId="0" fillId="0" borderId="18" xfId="0" applyNumberFormat="1" applyBorder="1"/>
    <xf numFmtId="171" fontId="0" fillId="0" borderId="18" xfId="0" applyNumberFormat="1" applyBorder="1"/>
    <xf numFmtId="172" fontId="0" fillId="0" borderId="19" xfId="0" applyNumberFormat="1" applyBorder="1"/>
    <xf numFmtId="0" fontId="0" fillId="0" borderId="20" xfId="0" applyBorder="1"/>
    <xf numFmtId="1" fontId="0" fillId="0" borderId="21" xfId="0" applyNumberFormat="1" applyBorder="1"/>
    <xf numFmtId="169" fontId="0" fillId="0" borderId="21" xfId="0" applyNumberFormat="1" applyBorder="1"/>
    <xf numFmtId="170" fontId="0" fillId="0" borderId="21" xfId="0" applyNumberFormat="1" applyBorder="1"/>
    <xf numFmtId="2" fontId="0" fillId="0" borderId="21" xfId="0" applyNumberFormat="1" applyBorder="1"/>
    <xf numFmtId="171" fontId="0" fillId="0" borderId="21" xfId="0" applyNumberFormat="1" applyBorder="1"/>
    <xf numFmtId="172" fontId="0" fillId="0" borderId="22" xfId="0" applyNumberFormat="1" applyBorder="1"/>
    <xf numFmtId="0" fontId="3" fillId="3" borderId="14" xfId="2" applyBorder="1"/>
    <xf numFmtId="0" fontId="7" fillId="18" borderId="15" xfId="16" applyBorder="1"/>
    <xf numFmtId="0" fontId="3" fillId="3" borderId="15" xfId="2" applyBorder="1"/>
    <xf numFmtId="0" fontId="3" fillId="3" borderId="16" xfId="2" applyBorder="1"/>
    <xf numFmtId="0" fontId="1" fillId="25" borderId="23" xfId="23" applyBorder="1"/>
    <xf numFmtId="0" fontId="1" fillId="12" borderId="23" xfId="11" applyBorder="1"/>
    <xf numFmtId="0" fontId="0" fillId="0" borderId="23" xfId="0" applyBorder="1"/>
    <xf numFmtId="0" fontId="1" fillId="10" borderId="0" xfId="9"/>
    <xf numFmtId="0" fontId="11" fillId="0" borderId="0" xfId="25"/>
    <xf numFmtId="0" fontId="0" fillId="27" borderId="9" xfId="0" applyFill="1" applyBorder="1"/>
    <xf numFmtId="173" fontId="0" fillId="27" borderId="5" xfId="0" applyNumberFormat="1" applyFill="1" applyBorder="1"/>
    <xf numFmtId="0" fontId="0" fillId="27" borderId="5" xfId="0" applyFill="1" applyBorder="1"/>
    <xf numFmtId="37" fontId="0" fillId="27" borderId="5" xfId="0" applyNumberFormat="1" applyFill="1" applyBorder="1"/>
    <xf numFmtId="0" fontId="7" fillId="27" borderId="5" xfId="0" applyFont="1" applyFill="1" applyBorder="1"/>
    <xf numFmtId="0" fontId="10" fillId="27" borderId="5" xfId="0" applyFont="1" applyFill="1" applyBorder="1"/>
    <xf numFmtId="166" fontId="0" fillId="27" borderId="5" xfId="0" applyNumberFormat="1" applyFill="1" applyBorder="1"/>
    <xf numFmtId="168" fontId="0" fillId="27" borderId="5" xfId="0" applyNumberFormat="1" applyFill="1" applyBorder="1" applyAlignment="1">
      <alignment horizontal="left" vertical="center"/>
    </xf>
    <xf numFmtId="167" fontId="0" fillId="27" borderId="5" xfId="0" applyNumberFormat="1" applyFill="1" applyBorder="1"/>
    <xf numFmtId="165" fontId="0" fillId="27" borderId="5" xfId="0" applyNumberFormat="1" applyFill="1" applyBorder="1"/>
    <xf numFmtId="164" fontId="0" fillId="27" borderId="10" xfId="0" applyNumberFormat="1" applyFill="1" applyBorder="1"/>
    <xf numFmtId="0" fontId="0" fillId="27" borderId="11" xfId="0" applyFill="1" applyBorder="1"/>
    <xf numFmtId="173" fontId="0" fillId="27" borderId="12" xfId="0" applyNumberFormat="1" applyFill="1" applyBorder="1"/>
    <xf numFmtId="0" fontId="0" fillId="27" borderId="12" xfId="0" applyFill="1" applyBorder="1"/>
    <xf numFmtId="37" fontId="0" fillId="27" borderId="12" xfId="0" applyNumberFormat="1" applyFill="1" applyBorder="1"/>
    <xf numFmtId="0" fontId="7" fillId="27" borderId="12" xfId="0" applyFont="1" applyFill="1" applyBorder="1"/>
    <xf numFmtId="0" fontId="10" fillId="27" borderId="12" xfId="0" applyFont="1" applyFill="1" applyBorder="1"/>
    <xf numFmtId="166" fontId="0" fillId="27" borderId="12" xfId="0" applyNumberFormat="1" applyFill="1" applyBorder="1"/>
    <xf numFmtId="168" fontId="0" fillId="27" borderId="12" xfId="0" applyNumberFormat="1" applyFill="1" applyBorder="1" applyAlignment="1">
      <alignment horizontal="left" vertical="center"/>
    </xf>
    <xf numFmtId="167" fontId="0" fillId="27" borderId="12" xfId="0" applyNumberFormat="1" applyFill="1" applyBorder="1"/>
    <xf numFmtId="165" fontId="0" fillId="27" borderId="12" xfId="0" applyNumberFormat="1" applyFill="1" applyBorder="1"/>
    <xf numFmtId="164" fontId="0" fillId="27" borderId="13" xfId="0" applyNumberFormat="1" applyFill="1" applyBorder="1"/>
    <xf numFmtId="0" fontId="0" fillId="28" borderId="5" xfId="0" applyFill="1" applyBorder="1"/>
    <xf numFmtId="0" fontId="0" fillId="28" borderId="12" xfId="0" applyFill="1" applyBorder="1"/>
    <xf numFmtId="174" fontId="0" fillId="27" borderId="5" xfId="0" applyNumberFormat="1" applyFill="1" applyBorder="1"/>
    <xf numFmtId="174" fontId="0" fillId="27" borderId="12" xfId="0" applyNumberFormat="1" applyFill="1" applyBorder="1"/>
    <xf numFmtId="175" fontId="0" fillId="27" borderId="5" xfId="0" applyNumberFormat="1" applyFill="1" applyBorder="1"/>
    <xf numFmtId="175" fontId="0" fillId="27" borderId="12" xfId="0" applyNumberFormat="1" applyFill="1" applyBorder="1"/>
    <xf numFmtId="176" fontId="0" fillId="27" borderId="5" xfId="0" applyNumberFormat="1" applyFill="1" applyBorder="1"/>
    <xf numFmtId="0" fontId="0" fillId="0" borderId="0" xfId="0" applyAlignment="1">
      <alignment horizontal="right" vertical="center" wrapText="1"/>
    </xf>
    <xf numFmtId="0" fontId="0" fillId="0" borderId="0" xfId="0" applyAlignment="1">
      <alignment vertical="center" wrapText="1"/>
    </xf>
    <xf numFmtId="3" fontId="0" fillId="0" borderId="0" xfId="0" applyNumberFormat="1" applyAlignment="1">
      <alignment horizontal="right" vertical="center" wrapText="1"/>
    </xf>
    <xf numFmtId="0" fontId="0" fillId="0" borderId="25" xfId="0" applyBorder="1"/>
    <xf numFmtId="0" fontId="13" fillId="0" borderId="26" xfId="0" applyFont="1" applyBorder="1" applyAlignment="1">
      <alignment horizontal="center"/>
    </xf>
    <xf numFmtId="0" fontId="14" fillId="0" borderId="27" xfId="0" applyFont="1" applyBorder="1" applyAlignment="1">
      <alignment horizontal="right"/>
    </xf>
    <xf numFmtId="0" fontId="2" fillId="2" borderId="0" xfId="1" applyAlignment="1">
      <alignment horizontal="center" vertical="center" wrapText="1"/>
    </xf>
    <xf numFmtId="0" fontId="2" fillId="2" borderId="0" xfId="1" applyAlignment="1">
      <alignment horizontal="right" vertical="center" wrapText="1"/>
    </xf>
    <xf numFmtId="0" fontId="12" fillId="0" borderId="24" xfId="26"/>
    <xf numFmtId="0" fontId="1" fillId="8" borderId="26" xfId="7" applyBorder="1" applyAlignment="1">
      <alignment horizontal="center"/>
    </xf>
    <xf numFmtId="0" fontId="1" fillId="12" borderId="26" xfId="11" applyBorder="1" applyAlignment="1">
      <alignment horizontal="center"/>
    </xf>
    <xf numFmtId="0" fontId="1" fillId="29" borderId="26" xfId="27" applyBorder="1" applyAlignment="1">
      <alignment horizontal="center"/>
    </xf>
    <xf numFmtId="0" fontId="1" fillId="17" borderId="26" xfId="15" applyBorder="1" applyAlignment="1">
      <alignment horizontal="center"/>
    </xf>
    <xf numFmtId="0" fontId="1" fillId="11" borderId="26" xfId="10" applyBorder="1" applyAlignment="1">
      <alignment horizontal="center"/>
    </xf>
    <xf numFmtId="0" fontId="12" fillId="25" borderId="24" xfId="26" applyFill="1"/>
    <xf numFmtId="0" fontId="12" fillId="3" borderId="24" xfId="26" applyFill="1"/>
    <xf numFmtId="0" fontId="1" fillId="8" borderId="0" xfId="7"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15" fillId="0" borderId="28" xfId="28"/>
    <xf numFmtId="0" fontId="12" fillId="26" borderId="24" xfId="26" applyFill="1"/>
    <xf numFmtId="0" fontId="15" fillId="8" borderId="28" xfId="28" applyFill="1"/>
    <xf numFmtId="0" fontId="1" fillId="11" borderId="0" xfId="10" applyAlignment="1">
      <alignment horizontal="center" vertical="center" wrapText="1"/>
    </xf>
  </cellXfs>
  <cellStyles count="29">
    <cellStyle name="20% - Accent3" xfId="18" builtinId="38"/>
    <cellStyle name="40% - Accent2" xfId="17" builtinId="35"/>
    <cellStyle name="40% - Accent3" xfId="19" builtinId="39"/>
    <cellStyle name="40% - Accent4" xfId="21" builtinId="43"/>
    <cellStyle name="40% - Accent5" xfId="10" builtinId="47"/>
    <cellStyle name="40% - Accent6" xfId="22" builtinId="51"/>
    <cellStyle name="60% - Accent1" xfId="15" builtinId="32"/>
    <cellStyle name="60% - Accent2" xfId="7" builtinId="36"/>
    <cellStyle name="60% - Accent3" xfId="9" builtinId="40"/>
    <cellStyle name="60% - Accent4" xfId="23" builtinId="44"/>
    <cellStyle name="60% - Accent5" xfId="11" builtinId="48"/>
    <cellStyle name="60% - Accent6" xfId="27" builtinId="52"/>
    <cellStyle name="Accent1" xfId="6" builtinId="29"/>
    <cellStyle name="Accent2" xfId="16" builtinId="33"/>
    <cellStyle name="Accent3" xfId="8" builtinId="37"/>
    <cellStyle name="Accent4" xfId="20" builtinId="41"/>
    <cellStyle name="Accent5" xfId="24" builtinId="45"/>
    <cellStyle name="Accent6" xfId="12" builtinId="49"/>
    <cellStyle name="Bad" xfId="2" builtinId="27"/>
    <cellStyle name="Calculation" xfId="4" builtinId="22"/>
    <cellStyle name="Check Cell" xfId="5" builtinId="23"/>
    <cellStyle name="Good" xfId="1" builtinId="26"/>
    <cellStyle name="Heading 1" xfId="26" builtinId="16"/>
    <cellStyle name="Heading 2" xfId="28" builtinId="17"/>
    <cellStyle name="Hyperlink" xfId="25" builtinId="8"/>
    <cellStyle name="Input" xfId="13" builtinId="20"/>
    <cellStyle name="Neutral" xfId="3" builtinId="28"/>
    <cellStyle name="Normal" xfId="0" builtinId="0"/>
    <cellStyle name="Note" xfId="14" builtinId="1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2.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3.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[excel-lookups.xlsx]Sheet1!PivotTable4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Sheet1!$I$145</c:f>
              <c:strCache>
                <c:ptCount val="1"/>
                <c:pt idx="0">
                  <c:v>Sum of Sum of Total Salary</c:v>
                </c:pt>
              </c:strCache>
            </c:strRef>
          </c:tx>
          <c:spPr>
            <a:solidFill>
              <a:schemeClr val="accent1"/>
            </a:solidFill>
            <a:ln>
              <a:noFill/>
            </a:ln>
            <a:effectLst/>
          </c:spPr>
          <c:invertIfNegative val="0"/>
          <c:cat>
            <c:strRef>
              <c:f>Sheet1!$I$146</c:f>
              <c:strCache>
                <c:ptCount val="1"/>
                <c:pt idx="0">
                  <c:v>Total</c:v>
                </c:pt>
              </c:strCache>
            </c:strRef>
          </c:cat>
          <c:val>
            <c:numRef>
              <c:f>Sheet1!$I$146</c:f>
              <c:numCache>
                <c:formatCode>General</c:formatCode>
                <c:ptCount val="1"/>
                <c:pt idx="0">
                  <c:v>31816970</c:v>
                </c:pt>
              </c:numCache>
            </c:numRef>
          </c:val>
          <c:extLst>
            <c:ext xmlns:c16="http://schemas.microsoft.com/office/drawing/2014/chart" uri="{C3380CC4-5D6E-409C-BE32-E72D297353CC}">
              <c16:uniqueId val="{00000000-C8C6-424A-BC76-6D542BB94F7C}"/>
            </c:ext>
          </c:extLst>
        </c:ser>
        <c:ser>
          <c:idx val="1"/>
          <c:order val="1"/>
          <c:tx>
            <c:strRef>
              <c:f>Sheet1!$J$145</c:f>
              <c:strCache>
                <c:ptCount val="1"/>
                <c:pt idx="0">
                  <c:v>Sum of Sum of Salary</c:v>
                </c:pt>
              </c:strCache>
            </c:strRef>
          </c:tx>
          <c:spPr>
            <a:solidFill>
              <a:schemeClr val="accent2"/>
            </a:solidFill>
            <a:ln>
              <a:noFill/>
            </a:ln>
            <a:effectLst/>
          </c:spPr>
          <c:invertIfNegative val="0"/>
          <c:cat>
            <c:strRef>
              <c:f>Sheet1!$I$146</c:f>
              <c:strCache>
                <c:ptCount val="1"/>
                <c:pt idx="0">
                  <c:v>Total</c:v>
                </c:pt>
              </c:strCache>
            </c:strRef>
          </c:cat>
          <c:val>
            <c:numRef>
              <c:f>Sheet1!$J$146</c:f>
              <c:numCache>
                <c:formatCode>General</c:formatCode>
                <c:ptCount val="1"/>
                <c:pt idx="0">
                  <c:v>730000</c:v>
                </c:pt>
              </c:numCache>
            </c:numRef>
          </c:val>
          <c:extLst>
            <c:ext xmlns:c16="http://schemas.microsoft.com/office/drawing/2014/chart" uri="{C3380CC4-5D6E-409C-BE32-E72D297353CC}">
              <c16:uniqueId val="{00000002-C8C6-424A-BC76-6D542BB94F7C}"/>
            </c:ext>
          </c:extLst>
        </c:ser>
        <c:dLbls>
          <c:showLegendKey val="0"/>
          <c:showVal val="0"/>
          <c:showCatName val="0"/>
          <c:showSerName val="0"/>
          <c:showPercent val="0"/>
          <c:showBubbleSize val="0"/>
        </c:dLbls>
        <c:gapWidth val="219"/>
        <c:overlap val="-27"/>
        <c:axId val="690067647"/>
        <c:axId val="690068127"/>
      </c:barChart>
      <c:catAx>
        <c:axId val="69006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68127"/>
        <c:crosses val="autoZero"/>
        <c:auto val="1"/>
        <c:lblAlgn val="ctr"/>
        <c:lblOffset val="100"/>
        <c:noMultiLvlLbl val="0"/>
      </c:catAx>
      <c:valAx>
        <c:axId val="69006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6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[excel-lookups.xlsx]Sheet1!PivotTable1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91426071741032"/>
          <c:y val="0.2572178477690289"/>
          <c:w val="0.56688560804899391"/>
          <c:h val="0.65853091280256637"/>
        </c:manualLayout>
      </c:layout>
      <c:barChart>
        <c:barDir val="col"/>
        <c:grouping val="clustered"/>
        <c:varyColors val="0"/>
        <c:ser>
          <c:idx val="0"/>
          <c:order val="0"/>
          <c:tx>
            <c:strRef>
              <c:f>Sheet1!$N$160</c:f>
              <c:strCache>
                <c:ptCount val="1"/>
                <c:pt idx="0">
                  <c:v>Sum of Salary</c:v>
                </c:pt>
              </c:strCache>
            </c:strRef>
          </c:tx>
          <c:spPr>
            <a:solidFill>
              <a:schemeClr val="accent1"/>
            </a:solidFill>
            <a:ln>
              <a:noFill/>
            </a:ln>
            <a:effectLst/>
          </c:spPr>
          <c:invertIfNegative val="0"/>
          <c:cat>
            <c:strRef>
              <c:f>Sheet1!$M$161:$M$162</c:f>
              <c:strCache>
                <c:ptCount val="1"/>
                <c:pt idx="0">
                  <c:v>Female</c:v>
                </c:pt>
              </c:strCache>
            </c:strRef>
          </c:cat>
          <c:val>
            <c:numRef>
              <c:f>Sheet1!$N$161:$N$162</c:f>
              <c:numCache>
                <c:formatCode>General</c:formatCode>
                <c:ptCount val="1"/>
                <c:pt idx="0">
                  <c:v>60000</c:v>
                </c:pt>
              </c:numCache>
            </c:numRef>
          </c:val>
          <c:extLst>
            <c:ext xmlns:c16="http://schemas.microsoft.com/office/drawing/2014/chart" uri="{C3380CC4-5D6E-409C-BE32-E72D297353CC}">
              <c16:uniqueId val="{00000000-C0AC-4617-A884-954E59057E1A}"/>
            </c:ext>
          </c:extLst>
        </c:ser>
        <c:ser>
          <c:idx val="1"/>
          <c:order val="1"/>
          <c:tx>
            <c:strRef>
              <c:f>Sheet1!$O$160</c:f>
              <c:strCache>
                <c:ptCount val="1"/>
                <c:pt idx="0">
                  <c:v>Sum of Total Salary</c:v>
                </c:pt>
              </c:strCache>
            </c:strRef>
          </c:tx>
          <c:spPr>
            <a:solidFill>
              <a:schemeClr val="accent2"/>
            </a:solidFill>
            <a:ln>
              <a:noFill/>
            </a:ln>
            <a:effectLst/>
          </c:spPr>
          <c:invertIfNegative val="0"/>
          <c:cat>
            <c:strRef>
              <c:f>Sheet1!$M$161:$M$162</c:f>
              <c:strCache>
                <c:ptCount val="1"/>
                <c:pt idx="0">
                  <c:v>Female</c:v>
                </c:pt>
              </c:strCache>
            </c:strRef>
          </c:cat>
          <c:val>
            <c:numRef>
              <c:f>Sheet1!$O$161:$O$162</c:f>
              <c:numCache>
                <c:formatCode>General</c:formatCode>
                <c:ptCount val="1"/>
                <c:pt idx="0">
                  <c:v>940589</c:v>
                </c:pt>
              </c:numCache>
            </c:numRef>
          </c:val>
          <c:extLst>
            <c:ext xmlns:c16="http://schemas.microsoft.com/office/drawing/2014/chart" uri="{C3380CC4-5D6E-409C-BE32-E72D297353CC}">
              <c16:uniqueId val="{00000002-C0AC-4617-A884-954E59057E1A}"/>
            </c:ext>
          </c:extLst>
        </c:ser>
        <c:ser>
          <c:idx val="2"/>
          <c:order val="2"/>
          <c:tx>
            <c:strRef>
              <c:f>Sheet1!$P$160</c:f>
              <c:strCache>
                <c:ptCount val="1"/>
                <c:pt idx="0">
                  <c:v>Sum of Age</c:v>
                </c:pt>
              </c:strCache>
            </c:strRef>
          </c:tx>
          <c:spPr>
            <a:solidFill>
              <a:schemeClr val="accent3"/>
            </a:solidFill>
            <a:ln>
              <a:noFill/>
            </a:ln>
            <a:effectLst/>
          </c:spPr>
          <c:invertIfNegative val="0"/>
          <c:cat>
            <c:strRef>
              <c:f>Sheet1!$M$161:$M$162</c:f>
              <c:strCache>
                <c:ptCount val="1"/>
                <c:pt idx="0">
                  <c:v>Female</c:v>
                </c:pt>
              </c:strCache>
            </c:strRef>
          </c:cat>
          <c:val>
            <c:numRef>
              <c:f>Sheet1!$P$161:$P$162</c:f>
              <c:numCache>
                <c:formatCode>General</c:formatCode>
                <c:ptCount val="1"/>
                <c:pt idx="0">
                  <c:v>50</c:v>
                </c:pt>
              </c:numCache>
            </c:numRef>
          </c:val>
          <c:extLst>
            <c:ext xmlns:c16="http://schemas.microsoft.com/office/drawing/2014/chart" uri="{C3380CC4-5D6E-409C-BE32-E72D297353CC}">
              <c16:uniqueId val="{00000003-C0AC-4617-A884-954E59057E1A}"/>
            </c:ext>
          </c:extLst>
        </c:ser>
        <c:dLbls>
          <c:showLegendKey val="0"/>
          <c:showVal val="0"/>
          <c:showCatName val="0"/>
          <c:showSerName val="0"/>
          <c:showPercent val="0"/>
          <c:showBubbleSize val="0"/>
        </c:dLbls>
        <c:gapWidth val="219"/>
        <c:overlap val="-27"/>
        <c:axId val="383061088"/>
        <c:axId val="383049088"/>
      </c:barChart>
      <c:catAx>
        <c:axId val="38306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49088"/>
        <c:crosses val="autoZero"/>
        <c:auto val="1"/>
        <c:lblAlgn val="ctr"/>
        <c:lblOffset val="100"/>
        <c:noMultiLvlLbl val="0"/>
      </c:catAx>
      <c:valAx>
        <c:axId val="38304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6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[excel-lookups.xlsx]Sheet1!PivotTable5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Sheet1!$T$160</c:f>
              <c:strCache>
                <c:ptCount val="1"/>
                <c:pt idx="0">
                  <c:v>Sum of Salary</c:v>
                </c:pt>
              </c:strCache>
            </c:strRef>
          </c:tx>
          <c:spPr>
            <a:solidFill>
              <a:schemeClr val="accent1"/>
            </a:solidFill>
            <a:ln>
              <a:noFill/>
            </a:ln>
            <a:effectLst/>
          </c:spPr>
          <c:invertIfNegative val="0"/>
          <c:cat>
            <c:strRef>
              <c:f>Sheet1!$S$161:$S$162</c:f>
              <c:strCache>
                <c:ptCount val="1"/>
                <c:pt idx="0">
                  <c:v>MINOR</c:v>
                </c:pt>
              </c:strCache>
            </c:strRef>
          </c:cat>
          <c:val>
            <c:numRef>
              <c:f>Sheet1!$T$161:$T$162</c:f>
              <c:numCache>
                <c:formatCode>General</c:formatCode>
                <c:ptCount val="1"/>
                <c:pt idx="0">
                  <c:v>25000</c:v>
                </c:pt>
              </c:numCache>
            </c:numRef>
          </c:val>
          <c:extLst>
            <c:ext xmlns:c16="http://schemas.microsoft.com/office/drawing/2014/chart" uri="{C3380CC4-5D6E-409C-BE32-E72D297353CC}">
              <c16:uniqueId val="{00000000-5B89-4C71-AD94-227FC04CB9D9}"/>
            </c:ext>
          </c:extLst>
        </c:ser>
        <c:ser>
          <c:idx val="1"/>
          <c:order val="1"/>
          <c:tx>
            <c:strRef>
              <c:f>Sheet1!$U$160</c:f>
              <c:strCache>
                <c:ptCount val="1"/>
                <c:pt idx="0">
                  <c:v>Sum of Total Salary</c:v>
                </c:pt>
              </c:strCache>
            </c:strRef>
          </c:tx>
          <c:spPr>
            <a:solidFill>
              <a:schemeClr val="accent2"/>
            </a:solidFill>
            <a:ln>
              <a:noFill/>
            </a:ln>
            <a:effectLst/>
          </c:spPr>
          <c:invertIfNegative val="0"/>
          <c:cat>
            <c:strRef>
              <c:f>Sheet1!$S$161:$S$162</c:f>
              <c:strCache>
                <c:ptCount val="1"/>
                <c:pt idx="0">
                  <c:v>MINOR</c:v>
                </c:pt>
              </c:strCache>
            </c:strRef>
          </c:cat>
          <c:val>
            <c:numRef>
              <c:f>Sheet1!$U$161:$U$162</c:f>
              <c:numCache>
                <c:formatCode>General</c:formatCode>
                <c:ptCount val="1"/>
                <c:pt idx="0">
                  <c:v>265347</c:v>
                </c:pt>
              </c:numCache>
            </c:numRef>
          </c:val>
          <c:extLst>
            <c:ext xmlns:c16="http://schemas.microsoft.com/office/drawing/2014/chart" uri="{C3380CC4-5D6E-409C-BE32-E72D297353CC}">
              <c16:uniqueId val="{00000002-5B89-4C71-AD94-227FC04CB9D9}"/>
            </c:ext>
          </c:extLst>
        </c:ser>
        <c:dLbls>
          <c:showLegendKey val="0"/>
          <c:showVal val="0"/>
          <c:showCatName val="0"/>
          <c:showSerName val="0"/>
          <c:showPercent val="0"/>
          <c:showBubbleSize val="0"/>
        </c:dLbls>
        <c:gapWidth val="219"/>
        <c:overlap val="-27"/>
        <c:axId val="712633120"/>
        <c:axId val="712648000"/>
      </c:barChart>
      <c:catAx>
        <c:axId val="71263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48000"/>
        <c:crosses val="autoZero"/>
        <c:auto val="1"/>
        <c:lblAlgn val="ctr"/>
        <c:lblOffset val="100"/>
        <c:noMultiLvlLbl val="0"/>
      </c:catAx>
      <c:valAx>
        <c:axId val="71264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3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364435</xdr:colOff>
      <xdr:row>140</xdr:row>
      <xdr:rowOff>284923</xdr:rowOff>
    </xdr:from>
    <xdr:to>
      <xdr:col>21</xdr:col>
      <xdr:colOff>16565</xdr:colOff>
      <xdr:row>149</xdr:row>
      <xdr:rowOff>220319</xdr:rowOff>
    </xdr:to>
    <xdr:graphicFrame macro="">
      <xdr:nvGraphicFramePr>
        <xdr:cNvPr id="3" name="Chart 2">
          <a:extLst>
            <a:ext uri="{FF2B5EF4-FFF2-40B4-BE49-F238E27FC236}">
              <a16:creationId xmlns:a16="http://schemas.microsoft.com/office/drawing/2014/main" id="{76FABA27-2E38-9119-4DC7-DA4560082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367333</xdr:colOff>
      <xdr:row>140</xdr:row>
      <xdr:rowOff>178905</xdr:rowOff>
    </xdr:from>
    <xdr:to>
      <xdr:col>15</xdr:col>
      <xdr:colOff>125481</xdr:colOff>
      <xdr:row>148</xdr:row>
      <xdr:rowOff>226530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61C76075-3853-F19D-CC95-5F59B68280C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853116" y="2788423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505238</xdr:colOff>
      <xdr:row>157</xdr:row>
      <xdr:rowOff>36444</xdr:rowOff>
    </xdr:from>
    <xdr:to>
      <xdr:col>9</xdr:col>
      <xdr:colOff>82825</xdr:colOff>
      <xdr:row>171</xdr:row>
      <xdr:rowOff>112644</xdr:rowOff>
    </xdr:to>
    <xdr:graphicFrame macro="">
      <xdr:nvGraphicFramePr>
        <xdr:cNvPr id="2" name="Chart 1">
          <a:extLst>
            <a:ext uri="{FF2B5EF4-FFF2-40B4-BE49-F238E27FC236}">
              <a16:creationId xmlns:a16="http://schemas.microsoft.com/office/drawing/2014/main" id="{C968A557-C761-7DFB-8D6D-0D7CC7F3E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306457</xdr:colOff>
      <xdr:row>163</xdr:row>
      <xdr:rowOff>152400</xdr:rowOff>
    </xdr:from>
    <xdr:to>
      <xdr:col>25</xdr:col>
      <xdr:colOff>273326</xdr:colOff>
      <xdr:row>178</xdr:row>
      <xdr:rowOff>38100</xdr:rowOff>
    </xdr:to>
    <xdr:graphicFrame macro="">
      <xdr:nvGraphicFramePr>
        <xdr:cNvPr id="11" name="Chart 10">
          <a:extLst>
            <a:ext uri="{FF2B5EF4-FFF2-40B4-BE49-F238E27FC236}">
              <a16:creationId xmlns:a16="http://schemas.microsoft.com/office/drawing/2014/main" id="{14223A17-10E2-238A-4BE8-632399649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421585</xdr:colOff>
      <xdr:row>158</xdr:row>
      <xdr:rowOff>181389</xdr:rowOff>
    </xdr:from>
    <xdr:to>
      <xdr:col>28</xdr:col>
      <xdr:colOff>411646</xdr:colOff>
      <xdr:row>172</xdr:row>
      <xdr:rowOff>38514</xdr:rowOff>
    </xdr:to>
    <mc:AlternateContent xmlns:mc="http://schemas.openxmlformats.org/markup-compatibility/2006">
      <mc:Choice xmlns:a14="http://schemas.microsoft.com/office/drawing/2010/main" Requires="a14">
        <xdr:graphicFrame macro="">
          <xdr:nvGraphicFramePr>
            <xdr:cNvPr id="12" name="AGE BIN">
              <a:extLst>
                <a:ext uri="{FF2B5EF4-FFF2-40B4-BE49-F238E27FC236}">
                  <a16:creationId xmlns:a16="http://schemas.microsoft.com/office/drawing/2014/main" id="{7FF479FE-60D9-6088-175D-9218704ADB4C}"/>
                </a:ext>
              </a:extLst>
            </xdr:cNvPr>
            <xdr:cNvGraphicFramePr/>
          </xdr:nvGraphicFramePr>
          <xdr:xfrm>
            <a:off x="0" y="0"/>
            <a:ext cx="0" cy="0"/>
          </xdr:xfrm>
          <a:graphic>
            <a:graphicData uri="http://schemas.microsoft.com/office/drawing/2010/slicer">
              <sle:slicer xmlns:sle="http://schemas.microsoft.com/office/drawing/2010/slicer" name="AGE BIN"/>
            </a:graphicData>
          </a:graphic>
        </xdr:graphicFrame>
      </mc:Choice>
      <mc:Fallback>
        <xdr:sp macro="" textlink="">
          <xdr:nvSpPr>
            <xdr:cNvPr id="0" name=""/>
            <xdr:cNvSpPr>
              <a:spLocks noTextEdit="1"/>
            </xdr:cNvSpPr>
          </xdr:nvSpPr>
          <xdr:spPr>
            <a:xfrm>
              <a:off x="20109346" y="3277345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444362</xdr:colOff>
      <xdr:row>157</xdr:row>
      <xdr:rowOff>181389</xdr:rowOff>
    </xdr:from>
    <xdr:to>
      <xdr:col>11</xdr:col>
      <xdr:colOff>782293</xdr:colOff>
      <xdr:row>171</xdr:row>
      <xdr:rowOff>38514</xdr:rowOff>
    </xdr:to>
    <mc:AlternateContent xmlns:mc="http://schemas.openxmlformats.org/markup-compatibility/2006">
      <mc:Choice xmlns:a14="http://schemas.microsoft.com/office/drawing/2010/main" Requires="a14">
        <xdr:graphicFrame macro="">
          <xdr:nvGraphicFramePr>
            <xdr:cNvPr id="14" name="Place">
              <a:extLst>
                <a:ext uri="{FF2B5EF4-FFF2-40B4-BE49-F238E27FC236}">
                  <a16:creationId xmlns:a16="http://schemas.microsoft.com/office/drawing/2014/main" id="{924403BA-E992-32EA-B340-F933D291EC1E}"/>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dr:sp macro="" textlink="">
          <xdr:nvSpPr>
            <xdr:cNvPr id="0" name=""/>
            <xdr:cNvSpPr>
              <a:spLocks noTextEdit="1"/>
            </xdr:cNvSpPr>
          </xdr:nvSpPr>
          <xdr:spPr>
            <a:xfrm>
              <a:off x="7368623" y="3258295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27792129629" createdVersion="8" refreshedVersion="8" minRefreshableVersion="3" recordCount="11" xr:uid="{BA07B8C2-698B-42F0-BAEC-7C6AFEE373EE}">
  <cacheSource type="worksheet">
    <worksheetSource ref="A141:F152" sheet="Sheet1"/>
  </cacheSource>
  <cacheFields count="6">
    <cacheField name="Name" numFmtId="0">
      <sharedItems containsBlank="1" count="11">
        <s v="Ravi"/>
        <s v="Priya"/>
        <s v="Arjun"/>
        <s v="Sneha"/>
        <s v="Kiran"/>
        <s v="Anjali"/>
        <s v="Rohit"/>
        <s v="Divya"/>
        <s v="Varun"/>
        <s v="Keerthi"/>
        <m/>
      </sharedItems>
    </cacheField>
    <cacheField name="Age" numFmtId="0">
      <sharedItems containsString="0" containsBlank="1" containsNumber="1" containsInteger="1" minValue="24" maxValue="35" count="11">
        <n v="25"/>
        <n v="28"/>
        <n v="32"/>
        <n v="27"/>
        <n v="30"/>
        <n v="24"/>
        <n v="35"/>
        <n v="29"/>
        <n v="31"/>
        <n v="26"/>
        <m/>
      </sharedItems>
    </cacheField>
    <cacheField name="Gender" numFmtId="0">
      <sharedItems containsBlank="1" count="3">
        <s v="Male"/>
        <s v="Female"/>
        <m/>
      </sharedItems>
    </cacheField>
    <cacheField name="Place" numFmtId="0">
      <sharedItems containsBlank="1"/>
    </cacheField>
    <cacheField name="Salary" numFmtId="0">
      <sharedItems containsString="0" containsBlank="1" containsNumber="1" containsInteger="1" minValue="25000" maxValue="50000"/>
    </cacheField>
    <cacheField name="Total Salary" numFmtId="0">
      <sharedItems containsString="0" containsBlank="1" containsNumber="1" containsInteger="1" minValue="98373" maxValue="8745326"/>
    </cacheField>
  </cacheFields>
  <extLst>
    <ext xmlns:x14="http://schemas.microsoft.com/office/spreadsheetml/2009/9/main" uri="{725AE2AE-9491-48be-B2B4-4EB974FC3084}">
      <x14:pivotCacheDefinition pivotCacheId="9128019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3216516204" createdVersion="8" refreshedVersion="8" minRefreshableVersion="3" recordCount="12" xr:uid="{EF410C84-38D2-4FCF-801E-854358E5A17F}">
  <cacheSource type="worksheet">
    <worksheetSource ref="K143:M155" sheet="Sheet1"/>
  </cacheSource>
  <cacheFields count="3">
    <cacheField name="Row Labels" numFmtId="0">
      <sharedItems count="12">
        <s v="Anjali"/>
        <s v="Arjun"/>
        <s v="Divya"/>
        <s v="Keerthi"/>
        <s v="Kiran"/>
        <s v="Priya"/>
        <s v="Ravi"/>
        <s v="Rohit"/>
        <s v="Sneha"/>
        <s v="Varun"/>
        <s v="(blank)"/>
        <s v="Grand Total"/>
      </sharedItems>
    </cacheField>
    <cacheField name="Sum of Salary" numFmtId="0">
      <sharedItems containsString="0" containsBlank="1" containsNumber="1" containsInteger="1" minValue="25000" maxValue="365000" count="12">
        <n v="28000"/>
        <n v="45000"/>
        <n v="38000"/>
        <n v="32000"/>
        <n v="40000"/>
        <n v="30000"/>
        <n v="25000"/>
        <n v="50000"/>
        <n v="35000"/>
        <n v="42000"/>
        <m/>
        <n v="365000"/>
      </sharedItems>
    </cacheField>
    <cacheField name="Sum of Total Salary" numFmtId="0">
      <sharedItems containsString="0" containsBlank="1" containsNumber="1" containsInteger="1" minValue="98373" maxValue="15908485" count="12">
        <n v="467342"/>
        <n v="742528"/>
        <n v="326732"/>
        <n v="473247"/>
        <n v="824786"/>
        <n v="8745326"/>
        <n v="265347"/>
        <n v="3728532"/>
        <n v="98373"/>
        <n v="236272"/>
        <m/>
        <n v="15908485"/>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97781365737" createdVersion="8" refreshedVersion="8" minRefreshableVersion="3" recordCount="10" xr:uid="{F669DDD6-16F5-4288-B77F-0B42ABD7DE5C}">
  <cacheSource type="worksheet">
    <worksheetSource ref="A141:G151" sheet="Sheet1"/>
  </cacheSource>
  <cacheFields count="7">
    <cacheField name="Name" numFmtId="0">
      <sharedItems count="10">
        <s v="Ravi"/>
        <s v="Priya"/>
        <s v="Arjun"/>
        <s v="Sneha"/>
        <s v="Kiran"/>
        <s v="Anjali"/>
        <s v="Rohit"/>
        <s v="Divya"/>
        <s v="Varun"/>
        <s v="Keerthi"/>
      </sharedItems>
    </cacheField>
    <cacheField name="Age" numFmtId="0">
      <sharedItems containsSemiMixedTypes="0" containsString="0" containsNumber="1" containsInteger="1" minValue="24" maxValue="35"/>
    </cacheField>
    <cacheField name="Gender" numFmtId="0">
      <sharedItems count="2">
        <s v="Male"/>
        <s v="Female"/>
      </sharedItems>
    </cacheField>
    <cacheField name="Place" numFmtId="0">
      <sharedItems count="5">
        <s v="Guntur"/>
        <s v="Vijayawada"/>
        <s v="Hyderabad"/>
        <s v="Visakhapatnam"/>
        <s v="Tirupati"/>
      </sharedItems>
    </cacheField>
    <cacheField name="Salary" numFmtId="0">
      <sharedItems containsSemiMixedTypes="0" containsString="0" containsNumber="1" containsInteger="1" minValue="25000" maxValue="50000" count="10">
        <n v="25000"/>
        <n v="30000"/>
        <n v="45000"/>
        <n v="35000"/>
        <n v="40000"/>
        <n v="28000"/>
        <n v="50000"/>
        <n v="38000"/>
        <n v="42000"/>
        <n v="32000"/>
      </sharedItems>
    </cacheField>
    <cacheField name="Total Salary" numFmtId="0">
      <sharedItems containsSemiMixedTypes="0" containsString="0" containsNumber="1" containsInteger="1" minValue="98373" maxValue="8745326" count="10">
        <n v="265347"/>
        <n v="8745326"/>
        <n v="742528"/>
        <n v="98373"/>
        <n v="824786"/>
        <n v="467342"/>
        <n v="3728532"/>
        <n v="326732"/>
        <n v="236272"/>
        <n v="473247"/>
      </sharedItems>
    </cacheField>
    <cacheField name="AGE BIN" numFmtId="0">
      <sharedItems count="2">
        <s v="MINOR"/>
        <s v="MAJOR"/>
      </sharedItems>
    </cacheField>
  </cacheFields>
  <extLst>
    <ext xmlns:x14="http://schemas.microsoft.com/office/spreadsheetml/2009/9/main" uri="{725AE2AE-9491-48be-B2B4-4EB974FC3084}">
      <x14:pivotCacheDefinition pivotCacheId="1371241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x v="0"/>
    <s v="Guntur"/>
    <n v="25000"/>
    <n v="265347"/>
  </r>
  <r>
    <x v="1"/>
    <x v="1"/>
    <x v="1"/>
    <s v="Vijayawada"/>
    <n v="30000"/>
    <n v="8745326"/>
  </r>
  <r>
    <x v="2"/>
    <x v="2"/>
    <x v="0"/>
    <s v="Hyderabad"/>
    <n v="45000"/>
    <n v="742528"/>
  </r>
  <r>
    <x v="3"/>
    <x v="3"/>
    <x v="1"/>
    <s v="Visakhapatnam"/>
    <n v="35000"/>
    <n v="98373"/>
  </r>
  <r>
    <x v="4"/>
    <x v="4"/>
    <x v="0"/>
    <s v="Guntur"/>
    <n v="40000"/>
    <n v="824786"/>
  </r>
  <r>
    <x v="5"/>
    <x v="5"/>
    <x v="1"/>
    <s v="Tirupati"/>
    <n v="28000"/>
    <n v="467342"/>
  </r>
  <r>
    <x v="6"/>
    <x v="6"/>
    <x v="0"/>
    <s v="Hyderabad"/>
    <n v="50000"/>
    <n v="3728532"/>
  </r>
  <r>
    <x v="7"/>
    <x v="7"/>
    <x v="1"/>
    <s v="Vijayawada"/>
    <n v="38000"/>
    <n v="326732"/>
  </r>
  <r>
    <x v="8"/>
    <x v="8"/>
    <x v="0"/>
    <s v="Visakhapatnam"/>
    <n v="42000"/>
    <n v="236272"/>
  </r>
  <r>
    <x v="9"/>
    <x v="9"/>
    <x v="1"/>
    <s v="Tirupati"/>
    <n v="32000"/>
    <n v="473247"/>
  </r>
  <r>
    <x v="10"/>
    <x v="10"/>
    <x v="2"/>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r>
  <r>
    <x v="1"/>
    <x v="1"/>
    <x v="1"/>
  </r>
  <r>
    <x v="2"/>
    <x v="2"/>
    <x v="2"/>
  </r>
  <r>
    <x v="3"/>
    <x v="3"/>
    <x v="3"/>
  </r>
  <r>
    <x v="4"/>
    <x v="4"/>
    <x v="4"/>
  </r>
  <r>
    <x v="5"/>
    <x v="5"/>
    <x v="5"/>
  </r>
  <r>
    <x v="6"/>
    <x v="6"/>
    <x v="6"/>
  </r>
  <r>
    <x v="7"/>
    <x v="7"/>
    <x v="7"/>
  </r>
  <r>
    <x v="8"/>
    <x v="8"/>
    <x v="8"/>
  </r>
  <r>
    <x v="9"/>
    <x v="9"/>
    <x v="9"/>
  </r>
  <r>
    <x v="10"/>
    <x v="10"/>
    <x v="10"/>
  </r>
  <r>
    <x v="11"/>
    <x v="11"/>
    <x v="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25"/>
    <x v="0"/>
    <x v="0"/>
    <x v="0"/>
    <x v="0"/>
    <x v="0"/>
  </r>
  <r>
    <x v="1"/>
    <n v="28"/>
    <x v="1"/>
    <x v="1"/>
    <x v="1"/>
    <x v="1"/>
    <x v="0"/>
  </r>
  <r>
    <x v="2"/>
    <n v="32"/>
    <x v="0"/>
    <x v="2"/>
    <x v="2"/>
    <x v="2"/>
    <x v="1"/>
  </r>
  <r>
    <x v="3"/>
    <n v="27"/>
    <x v="1"/>
    <x v="3"/>
    <x v="3"/>
    <x v="3"/>
    <x v="0"/>
  </r>
  <r>
    <x v="4"/>
    <n v="30"/>
    <x v="0"/>
    <x v="0"/>
    <x v="4"/>
    <x v="4"/>
    <x v="1"/>
  </r>
  <r>
    <x v="5"/>
    <n v="24"/>
    <x v="1"/>
    <x v="4"/>
    <x v="5"/>
    <x v="5"/>
    <x v="0"/>
  </r>
  <r>
    <x v="6"/>
    <n v="35"/>
    <x v="0"/>
    <x v="2"/>
    <x v="6"/>
    <x v="6"/>
    <x v="1"/>
  </r>
  <r>
    <x v="7"/>
    <n v="29"/>
    <x v="1"/>
    <x v="1"/>
    <x v="7"/>
    <x v="7"/>
    <x v="0"/>
  </r>
  <r>
    <x v="8"/>
    <n v="31"/>
    <x v="0"/>
    <x v="3"/>
    <x v="8"/>
    <x v="8"/>
    <x v="1"/>
  </r>
  <r>
    <x v="9"/>
    <n v="26"/>
    <x v="1"/>
    <x v="4"/>
    <x v="9"/>
    <x v="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64499C-AB0D-4FA2-B026-9066898A96E6}"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S160:U162" firstHeaderRow="0" firstDataRow="1" firstDataCol="1" rowPageCount="1" colPageCount="1"/>
  <pivotFields count="7">
    <pivotField showAll="0"/>
    <pivotField showAll="0"/>
    <pivotField axis="axisPage" showAll="0">
      <items count="3">
        <item x="1"/>
        <item x="0"/>
        <item t="default"/>
      </items>
    </pivotField>
    <pivotField showAll="0"/>
    <pivotField dataField="1" showAll="0"/>
    <pivotField dataField="1" showAll="0"/>
    <pivotField axis="axisRow" showAll="0">
      <items count="3">
        <item h="1" x="1"/>
        <item x="0"/>
        <item t="default"/>
      </items>
    </pivotField>
  </pivotFields>
  <rowFields count="1">
    <field x="6"/>
  </rowFields>
  <rowItems count="2">
    <i>
      <x v="1"/>
    </i>
    <i t="grand">
      <x/>
    </i>
  </rowItems>
  <colFields count="1">
    <field x="-2"/>
  </colFields>
  <colItems count="2">
    <i>
      <x/>
    </i>
    <i i="1">
      <x v="1"/>
    </i>
  </colItems>
  <pageFields count="1">
    <pageField fld="2" item="1" hier="-1"/>
  </pageFields>
  <dataFields count="2">
    <dataField name="Sum of Salary" fld="4" baseField="0" baseItem="0"/>
    <dataField name="Sum of Total Salary"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F1C2A0-E65F-4CBE-94B4-A8EA2D7EC150}"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160:P162" firstHeaderRow="0" firstDataRow="1" firstDataCol="1" rowPageCount="1" colPageCount="1"/>
  <pivotFields count="7">
    <pivotField axis="axisPage" showAll="0">
      <items count="11">
        <item x="5"/>
        <item x="2"/>
        <item x="7"/>
        <item x="9"/>
        <item x="4"/>
        <item x="1"/>
        <item x="0"/>
        <item x="6"/>
        <item x="3"/>
        <item x="8"/>
        <item t="default"/>
      </items>
    </pivotField>
    <pivotField dataField="1" showAll="0"/>
    <pivotField axis="axisRow" showAll="0">
      <items count="3">
        <item x="1"/>
        <item h="1" x="0"/>
        <item t="default"/>
      </items>
    </pivotField>
    <pivotField showAll="0">
      <items count="6">
        <item h="1" x="0"/>
        <item h="1" x="2"/>
        <item x="4"/>
        <item h="1" x="1"/>
        <item h="1" x="3"/>
        <item t="default"/>
      </items>
    </pivotField>
    <pivotField dataField="1" showAll="0"/>
    <pivotField dataField="1" showAll="0">
      <items count="11">
        <item h="1" x="3"/>
        <item h="1" x="8"/>
        <item h="1" x="0"/>
        <item h="1" x="7"/>
        <item h="1" x="5"/>
        <item x="9"/>
        <item h="1" x="2"/>
        <item h="1" x="4"/>
        <item h="1" x="6"/>
        <item h="1" x="1"/>
        <item t="default"/>
      </items>
    </pivotField>
    <pivotField showAll="0">
      <items count="3">
        <item h="1" x="1"/>
        <item x="0"/>
        <item t="default"/>
      </items>
    </pivotField>
  </pivotFields>
  <rowFields count="1">
    <field x="2"/>
  </rowFields>
  <rowItems count="2">
    <i>
      <x/>
    </i>
    <i t="grand">
      <x/>
    </i>
  </rowItems>
  <colFields count="1">
    <field x="-2"/>
  </colFields>
  <colItems count="3">
    <i>
      <x/>
    </i>
    <i i="1">
      <x v="1"/>
    </i>
    <i i="2">
      <x v="2"/>
    </i>
  </colItems>
  <pageFields count="1">
    <pageField fld="0" hier="-1"/>
  </pageFields>
  <dataFields count="3">
    <dataField name="Sum of Salary" fld="4" baseField="0" baseItem="0"/>
    <dataField name="Sum of Total Salary" fld="5" baseField="0" baseItem="0"/>
    <dataField name="Sum of Age" fld="1"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8B9892-0A01-4E58-80EF-18B0D547FD6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43:M149" firstHeaderRow="0" firstDataRow="1" firstDataCol="1" rowPageCount="1" colPageCount="1"/>
  <pivotFields count="6">
    <pivotField axis="axisRow" showAll="0">
      <items count="12">
        <item x="5"/>
        <item x="2"/>
        <item x="7"/>
        <item x="9"/>
        <item x="4"/>
        <item x="1"/>
        <item x="0"/>
        <item x="6"/>
        <item x="3"/>
        <item x="8"/>
        <item x="10"/>
        <item t="default"/>
      </items>
    </pivotField>
    <pivotField showAll="0">
      <items count="12">
        <item x="5"/>
        <item x="0"/>
        <item x="9"/>
        <item x="3"/>
        <item x="1"/>
        <item x="7"/>
        <item x="4"/>
        <item x="8"/>
        <item x="2"/>
        <item x="6"/>
        <item x="10"/>
        <item t="default"/>
      </items>
    </pivotField>
    <pivotField name="Gender" axis="axisPage" showAll="0">
      <items count="4">
        <item x="1"/>
        <item x="0"/>
        <item x="2"/>
        <item t="default"/>
      </items>
    </pivotField>
    <pivotField showAll="0"/>
    <pivotField dataField="1" showAll="0"/>
    <pivotField dataField="1" showAll="0"/>
  </pivotFields>
  <rowFields count="1">
    <field x="0"/>
  </rowFields>
  <rowItems count="6">
    <i>
      <x v="1"/>
    </i>
    <i>
      <x v="4"/>
    </i>
    <i>
      <x v="6"/>
    </i>
    <i>
      <x v="7"/>
    </i>
    <i>
      <x v="9"/>
    </i>
    <i t="grand">
      <x/>
    </i>
  </rowItems>
  <colFields count="1">
    <field x="-2"/>
  </colFields>
  <colItems count="2">
    <i>
      <x/>
    </i>
    <i i="1">
      <x v="1"/>
    </i>
  </colItems>
  <pageFields count="1">
    <pageField fld="2" item="1" hier="-1"/>
  </pageFields>
  <dataFields count="2">
    <dataField name="Sum of Salary" fld="4" baseField="0" baseItem="0"/>
    <dataField name="Sum of Total Salar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4C435F-0484-4F5E-9EE6-4E2777C29F94}"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I145:J146" firstHeaderRow="0" firstDataRow="1" firstDataCol="0"/>
  <pivotFields count="3">
    <pivotField showAll="0">
      <items count="13">
        <item x="10"/>
        <item x="0"/>
        <item x="1"/>
        <item x="2"/>
        <item x="11"/>
        <item x="3"/>
        <item x="4"/>
        <item x="5"/>
        <item x="6"/>
        <item x="7"/>
        <item x="8"/>
        <item x="9"/>
        <item t="default"/>
      </items>
    </pivotField>
    <pivotField dataField="1" showAll="0">
      <items count="13">
        <item x="6"/>
        <item x="0"/>
        <item x="5"/>
        <item x="3"/>
        <item x="8"/>
        <item x="2"/>
        <item x="4"/>
        <item x="9"/>
        <item x="1"/>
        <item x="7"/>
        <item x="11"/>
        <item x="10"/>
        <item t="default"/>
      </items>
    </pivotField>
    <pivotField dataField="1" showAll="0">
      <items count="13">
        <item x="8"/>
        <item x="9"/>
        <item x="6"/>
        <item x="2"/>
        <item x="0"/>
        <item x="3"/>
        <item x="1"/>
        <item x="4"/>
        <item x="7"/>
        <item x="5"/>
        <item x="11"/>
        <item x="10"/>
        <item t="default"/>
      </items>
    </pivotField>
  </pivotFields>
  <rowItems count="1">
    <i/>
  </rowItems>
  <colFields count="1">
    <field x="-2"/>
  </colFields>
  <colItems count="2">
    <i>
      <x/>
    </i>
    <i i="1">
      <x v="1"/>
    </i>
  </colItems>
  <dataFields count="2">
    <dataField name="Sum of Sum of Total Salary" fld="2" baseField="0" baseItem="0"/>
    <dataField name="Sum of Sum of Salary" fld="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B03E2B2-FB5A-46ED-95BD-46FC6BA0227E}" sourceName="Gender">
  <pivotTables>
    <pivotTable tabId="1" name="PivotTable2"/>
  </pivotTables>
  <data>
    <tabular pivotCacheId="912801983">
      <items count="3">
        <i x="1"/>
        <i x="0"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IN" xr10:uid="{0E1B4FA0-D561-4CB7-90C1-6651964754DE}" sourceName="AGE BIN">
  <pivotTables>
    <pivotTable tabId="1" name="PivotTable5"/>
    <pivotTable tabId="1" name="PivotTable1"/>
  </pivotTables>
  <data>
    <tabular pivotCacheId="1371241394">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81A720C4-8061-4F55-9F64-A7A1EE21AD23}" sourceName="Place">
  <pivotTables>
    <pivotTable tabId="1" name="PivotTable1"/>
  </pivotTables>
  <data>
    <tabular pivotCacheId="1371241394">
      <items count="5">
        <i x="4" s="1"/>
        <i x="1"/>
        <i x="3"/>
        <i x="0"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CD95419-84F6-4384-B3F8-99AC9A540231}" cache="Slicer_Gender" caption="Gender" rowHeight="241300"/>
  <slicer name="AGE BIN" xr10:uid="{DFAE49A7-3BF8-4E96-A835-899C4F3765D7}" cache="Slicer_AGE_BIN" caption="AGE BIN" rowHeight="241300"/>
  <slicer name="Place" xr10:uid="{88F74619-272F-488F-8376-BC7CF2B9E6E5}" cache="Slicer_Place" caption="Plac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A8FB4B-536B-40BA-A4E6-6035DC525937}" name="Table1" displayName="Table1" ref="E35:I44" totalsRowShown="0">
  <autoFilter ref="E35:I44" xr:uid="{A3A8FB4B-536B-40BA-A4E6-6035DC525937}"/>
  <tableColumns count="5">
    <tableColumn id="1" xr3:uid="{89BA967D-44F9-4872-AF11-E5A6F5F11D5A}" name="Column1"/>
    <tableColumn id="2" xr3:uid="{7335564B-C5FF-4610-B268-BCE61E909340}" name="Column2" dataDxfId="9"/>
    <tableColumn id="3" xr3:uid="{85095233-3EC0-4019-8E8D-F08DA2E07658}" name="Column3"/>
    <tableColumn id="4" xr3:uid="{EE1EAAA6-D2DF-4303-8B22-C36E835D7BCC}" name="Column4"/>
    <tableColumn id="5" xr3:uid="{27030ABD-E784-4A4F-8777-644572FC0F27}" name="Column5"/>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AA1B48-CFE2-4E04-A338-5E62F3CB0706}" name="Table2" displayName="Table2" ref="AE36:AG39" totalsRowShown="0">
  <autoFilter ref="AE36:AG39" xr:uid="{3FAA1B48-CFE2-4E04-A338-5E62F3CB0706}"/>
  <tableColumns count="3">
    <tableColumn id="1" xr3:uid="{CE9AAC14-DF67-4DE6-AAF8-962AD25F208F}" name="NO"/>
    <tableColumn id="2" xr3:uid="{2E742875-1472-41B0-A940-4D5B0AE31969}" name="IMAGE"/>
    <tableColumn id="3" xr3:uid="{2F88A450-1085-4A4F-AFD8-A3127B73E2DB}" name="PRIC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hyperlink" Target="https://www.freeiconspng.com/uploads/logo-whatsapp-png-file-15.png" TargetMode="Externa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EBD79-031E-4583-A324-499058AD4AFD}">
  <dimension ref="A1:AP167"/>
  <sheetViews>
    <sheetView tabSelected="1" topLeftCell="G156" zoomScale="115" zoomScaleNormal="115" workbookViewId="0">
      <selection activeCell="Q171" sqref="Q171"/>
    </sheetView>
  </sheetViews>
  <sheetFormatPr defaultRowHeight="15" x14ac:dyDescent="0.25"/>
  <cols>
    <col min="2" max="2" width="19.7109375" bestFit="1" customWidth="1"/>
    <col min="4" max="4" width="10.42578125" bestFit="1" customWidth="1"/>
    <col min="5" max="9" width="11" customWidth="1"/>
    <col min="11" max="11" width="13.140625" bestFit="1" customWidth="1"/>
    <col min="12" max="12" width="13" bestFit="1" customWidth="1"/>
    <col min="13" max="13" width="13.140625" bestFit="1" customWidth="1"/>
    <col min="14" max="14" width="13" bestFit="1" customWidth="1"/>
    <col min="15" max="15" width="18" bestFit="1" customWidth="1"/>
    <col min="16" max="16" width="11.140625" bestFit="1" customWidth="1"/>
    <col min="19" max="19" width="13.140625" bestFit="1" customWidth="1"/>
    <col min="20" max="20" width="13" bestFit="1" customWidth="1"/>
    <col min="21" max="21" width="18" bestFit="1" customWidth="1"/>
    <col min="24" max="24" width="10.42578125" bestFit="1" customWidth="1"/>
    <col min="32" max="32" width="9.140625" customWidth="1"/>
  </cols>
  <sheetData>
    <row r="1" spans="1:28" x14ac:dyDescent="0.25">
      <c r="A1" s="1" t="s">
        <v>0</v>
      </c>
      <c r="B1" s="32" t="s">
        <v>1</v>
      </c>
      <c r="C1" s="34" t="s">
        <v>2</v>
      </c>
      <c r="J1" s="2">
        <v>0</v>
      </c>
    </row>
    <row r="2" spans="1:28" x14ac:dyDescent="0.25">
      <c r="A2">
        <v>101</v>
      </c>
      <c r="B2" t="s">
        <v>3</v>
      </c>
      <c r="C2">
        <v>897352</v>
      </c>
    </row>
    <row r="3" spans="1:28" x14ac:dyDescent="0.25">
      <c r="A3">
        <v>102</v>
      </c>
      <c r="B3" t="s">
        <v>4</v>
      </c>
      <c r="C3">
        <v>897353</v>
      </c>
      <c r="L3" s="1" t="s">
        <v>0</v>
      </c>
      <c r="M3">
        <v>101</v>
      </c>
      <c r="N3">
        <v>102</v>
      </c>
      <c r="O3">
        <v>103</v>
      </c>
      <c r="P3">
        <v>104</v>
      </c>
      <c r="Q3">
        <v>105</v>
      </c>
      <c r="R3">
        <v>106</v>
      </c>
      <c r="S3">
        <v>107</v>
      </c>
      <c r="T3">
        <v>108</v>
      </c>
      <c r="U3">
        <v>109</v>
      </c>
      <c r="V3">
        <v>110</v>
      </c>
    </row>
    <row r="4" spans="1:28" x14ac:dyDescent="0.25">
      <c r="A4">
        <v>103</v>
      </c>
      <c r="B4" t="s">
        <v>5</v>
      </c>
      <c r="C4">
        <v>897354</v>
      </c>
      <c r="L4" s="2" t="s">
        <v>1</v>
      </c>
      <c r="M4" t="s">
        <v>3</v>
      </c>
      <c r="N4" t="s">
        <v>4</v>
      </c>
      <c r="O4" t="s">
        <v>5</v>
      </c>
      <c r="P4" t="s">
        <v>6</v>
      </c>
      <c r="Q4" t="s">
        <v>3</v>
      </c>
      <c r="R4" t="s">
        <v>8</v>
      </c>
      <c r="S4" t="s">
        <v>9</v>
      </c>
      <c r="T4" t="s">
        <v>10</v>
      </c>
      <c r="U4" t="s">
        <v>11</v>
      </c>
      <c r="V4" t="s">
        <v>12</v>
      </c>
    </row>
    <row r="5" spans="1:28" x14ac:dyDescent="0.25">
      <c r="A5">
        <v>104</v>
      </c>
      <c r="B5" t="s">
        <v>6</v>
      </c>
      <c r="C5">
        <v>897355</v>
      </c>
      <c r="L5" s="3" t="s">
        <v>2</v>
      </c>
      <c r="M5">
        <v>897352</v>
      </c>
      <c r="N5">
        <v>897353</v>
      </c>
      <c r="O5">
        <v>897354</v>
      </c>
      <c r="P5">
        <v>897355</v>
      </c>
      <c r="Q5">
        <v>897356</v>
      </c>
      <c r="R5">
        <v>897357</v>
      </c>
      <c r="S5">
        <v>897358</v>
      </c>
      <c r="T5">
        <v>897359</v>
      </c>
      <c r="U5">
        <v>897360</v>
      </c>
      <c r="V5">
        <v>897361</v>
      </c>
    </row>
    <row r="6" spans="1:28" x14ac:dyDescent="0.25">
      <c r="A6">
        <v>105</v>
      </c>
      <c r="B6" t="s">
        <v>7</v>
      </c>
      <c r="C6">
        <v>897356</v>
      </c>
    </row>
    <row r="7" spans="1:28" x14ac:dyDescent="0.25">
      <c r="A7">
        <v>106</v>
      </c>
      <c r="B7" t="s">
        <v>8</v>
      </c>
      <c r="C7">
        <v>897357</v>
      </c>
    </row>
    <row r="8" spans="1:28" x14ac:dyDescent="0.25">
      <c r="A8">
        <v>107</v>
      </c>
      <c r="B8" t="s">
        <v>9</v>
      </c>
      <c r="C8">
        <v>897358</v>
      </c>
      <c r="Z8" t="s">
        <v>31</v>
      </c>
    </row>
    <row r="9" spans="1:28" x14ac:dyDescent="0.25">
      <c r="A9">
        <v>108</v>
      </c>
      <c r="B9" t="s">
        <v>10</v>
      </c>
      <c r="C9">
        <v>897359</v>
      </c>
      <c r="F9" s="1" t="s">
        <v>13</v>
      </c>
      <c r="H9" s="2" t="s">
        <v>14</v>
      </c>
      <c r="J9" s="3" t="s">
        <v>15</v>
      </c>
      <c r="L9" s="1" t="s">
        <v>16</v>
      </c>
      <c r="Q9" s="3" t="s">
        <v>17</v>
      </c>
      <c r="R9" s="1" t="s">
        <v>18</v>
      </c>
      <c r="S9" s="2" t="s">
        <v>19</v>
      </c>
      <c r="T9" s="4" t="s">
        <v>20</v>
      </c>
    </row>
    <row r="10" spans="1:28" x14ac:dyDescent="0.25">
      <c r="A10">
        <v>109</v>
      </c>
      <c r="B10" t="s">
        <v>11</v>
      </c>
      <c r="C10">
        <v>897360</v>
      </c>
      <c r="F10">
        <f>VLOOKUP(A8,A1:D11,3,FALSE)</f>
        <v>897358</v>
      </c>
      <c r="H10">
        <f>HLOOKUP(T3,L3:V5,3,FALSE)</f>
        <v>897359</v>
      </c>
      <c r="J10">
        <f>INDEX(L3:V5,3,2)</f>
        <v>897352</v>
      </c>
      <c r="L10">
        <f>MATCH(N3,L3:V3,0)</f>
        <v>3</v>
      </c>
      <c r="Q10" t="s">
        <v>21</v>
      </c>
      <c r="R10" t="s">
        <v>22</v>
      </c>
      <c r="S10" t="s">
        <v>23</v>
      </c>
      <c r="T10">
        <v>50</v>
      </c>
      <c r="V10" s="3" t="s">
        <v>29</v>
      </c>
      <c r="X10" s="1" t="s">
        <v>30</v>
      </c>
      <c r="Z10" s="5" t="s">
        <v>32</v>
      </c>
    </row>
    <row r="11" spans="1:28" x14ac:dyDescent="0.25">
      <c r="A11">
        <v>110</v>
      </c>
      <c r="B11" t="s">
        <v>12</v>
      </c>
      <c r="C11">
        <v>897361</v>
      </c>
      <c r="J11" t="str">
        <f>INDEX(L3:V5,3,1)</f>
        <v>SALARY</v>
      </c>
      <c r="L11">
        <f>MATCH(R4,L4:V4,0)</f>
        <v>7</v>
      </c>
      <c r="Q11" t="s">
        <v>24</v>
      </c>
      <c r="R11" t="s">
        <v>25</v>
      </c>
      <c r="S11" t="s">
        <v>26</v>
      </c>
      <c r="T11">
        <v>60</v>
      </c>
      <c r="V11">
        <f>FIND("P",Q11)</f>
        <v>1</v>
      </c>
      <c r="X11" t="str">
        <f>REPLACE(R13,1,3,"456")</f>
        <v>456E</v>
      </c>
      <c r="Z11" t="str">
        <f>SUBSTITUTE("REETHU VEERA","REETHU","SSS")</f>
        <v>SSS VEERA</v>
      </c>
    </row>
    <row r="12" spans="1:28" ht="15.75" thickBot="1" x14ac:dyDescent="0.3">
      <c r="D12" s="8"/>
      <c r="Q12" t="s">
        <v>27</v>
      </c>
      <c r="R12" t="s">
        <v>22</v>
      </c>
      <c r="S12" t="s">
        <v>23</v>
      </c>
      <c r="T12">
        <v>100</v>
      </c>
    </row>
    <row r="13" spans="1:28" ht="16.5" thickTop="1" thickBot="1" x14ac:dyDescent="0.3">
      <c r="Q13" t="s">
        <v>21</v>
      </c>
      <c r="R13" t="s">
        <v>22</v>
      </c>
      <c r="S13" t="s">
        <v>23</v>
      </c>
      <c r="T13">
        <v>70</v>
      </c>
      <c r="V13" s="1" t="s">
        <v>33</v>
      </c>
      <c r="X13" s="2" t="s">
        <v>34</v>
      </c>
      <c r="Z13" s="6" t="s">
        <v>35</v>
      </c>
    </row>
    <row r="14" spans="1:28" ht="15.75" thickTop="1" x14ac:dyDescent="0.25">
      <c r="Q14" t="s">
        <v>24</v>
      </c>
      <c r="R14" t="s">
        <v>25</v>
      </c>
      <c r="S14" t="s">
        <v>26</v>
      </c>
      <c r="T14">
        <v>100</v>
      </c>
      <c r="V14" t="str">
        <f>MID("REETHUVEERA",2,4)</f>
        <v>EETH</v>
      </c>
      <c r="X14">
        <f>SEARCH("VEERA","REETHU VEERA")</f>
        <v>8</v>
      </c>
      <c r="Z14" t="str">
        <f>_xlfn.CONCAT(Q12,R12)</f>
        <v>BOOKBLUE</v>
      </c>
    </row>
    <row r="15" spans="1:28" x14ac:dyDescent="0.25">
      <c r="H15" s="9"/>
      <c r="S15" s="2" t="s">
        <v>28</v>
      </c>
      <c r="T15">
        <f>SUM(T10:T14)</f>
        <v>380</v>
      </c>
    </row>
    <row r="16" spans="1:28" x14ac:dyDescent="0.25">
      <c r="S16" s="1" t="s">
        <v>39</v>
      </c>
      <c r="T16">
        <f>LEN("HGFDE")</f>
        <v>5</v>
      </c>
      <c r="V16" s="7" t="s">
        <v>17</v>
      </c>
      <c r="X16" s="3" t="s">
        <v>36</v>
      </c>
      <c r="Z16" s="1" t="s">
        <v>37</v>
      </c>
      <c r="AB16" t="s">
        <v>38</v>
      </c>
    </row>
    <row r="17" spans="4:28" x14ac:dyDescent="0.25">
      <c r="S17" s="2" t="s">
        <v>40</v>
      </c>
      <c r="T17">
        <f>MEDIAN(T10:T15)</f>
        <v>85</v>
      </c>
      <c r="V17" s="5">
        <f>PRODUCT(T11,T12)</f>
        <v>6000</v>
      </c>
      <c r="X17">
        <f>FACT(5)</f>
        <v>120</v>
      </c>
      <c r="Z17">
        <f>ROUND(87.5211,2)</f>
        <v>87.52</v>
      </c>
      <c r="AB17">
        <f>MOD(9,2)</f>
        <v>1</v>
      </c>
    </row>
    <row r="18" spans="4:28" x14ac:dyDescent="0.25">
      <c r="S18" s="3" t="s">
        <v>41</v>
      </c>
      <c r="T18">
        <f>RANK(50,T10:T14)</f>
        <v>5</v>
      </c>
    </row>
    <row r="19" spans="4:28" ht="15.75" thickBot="1" x14ac:dyDescent="0.3">
      <c r="S19" s="1" t="s">
        <v>42</v>
      </c>
      <c r="T19" t="str">
        <f>LEFT(Z14,3)</f>
        <v>BOO</v>
      </c>
    </row>
    <row r="20" spans="4:28" ht="16.5" thickTop="1" thickBot="1" x14ac:dyDescent="0.3">
      <c r="S20" s="6" t="s">
        <v>43</v>
      </c>
      <c r="T20" t="str">
        <f>RIGHT(Z14,3)</f>
        <v>LUE</v>
      </c>
    </row>
    <row r="21" spans="4:28" ht="15.75" thickTop="1" x14ac:dyDescent="0.25">
      <c r="G21" s="3" t="s">
        <v>51</v>
      </c>
      <c r="H21" s="2"/>
      <c r="I21" s="1"/>
    </row>
    <row r="22" spans="4:28" x14ac:dyDescent="0.25">
      <c r="S22" s="3" t="s">
        <v>44</v>
      </c>
      <c r="T22" s="3"/>
      <c r="U22" s="3"/>
    </row>
    <row r="23" spans="4:28" x14ac:dyDescent="0.25">
      <c r="D23" s="2" t="s">
        <v>19</v>
      </c>
      <c r="E23" s="4" t="s">
        <v>57</v>
      </c>
      <c r="F23" s="3" t="s">
        <v>58</v>
      </c>
      <c r="G23" s="5" t="s">
        <v>52</v>
      </c>
      <c r="H23" s="2" t="s">
        <v>53</v>
      </c>
      <c r="I23" s="10" t="s">
        <v>54</v>
      </c>
      <c r="J23" s="12" t="s">
        <v>55</v>
      </c>
      <c r="K23" s="11" t="s">
        <v>56</v>
      </c>
      <c r="L23" s="13" t="s">
        <v>61</v>
      </c>
      <c r="M23" s="14" t="s">
        <v>62</v>
      </c>
      <c r="R23" s="10" t="s">
        <v>45</v>
      </c>
      <c r="S23">
        <f>SUMIF(R10:R14,R13,T10:T14)</f>
        <v>220</v>
      </c>
    </row>
    <row r="24" spans="4:28" x14ac:dyDescent="0.25">
      <c r="D24" t="s">
        <v>23</v>
      </c>
      <c r="E24">
        <v>12</v>
      </c>
      <c r="F24" t="s">
        <v>59</v>
      </c>
      <c r="G24" t="str">
        <f>IF(E24&gt;18,"MAJOR","MINOR")</f>
        <v>MINOR</v>
      </c>
      <c r="H24" t="str">
        <f>IF(E24&gt;18,"MAJOR",IF(E24&lt;218,"MINOR",IF(E24&gt;60,"OLD AGE")))</f>
        <v>MINOR</v>
      </c>
      <c r="I24" t="b">
        <f>AND(E24&gt;18,E24&lt;90)</f>
        <v>0</v>
      </c>
      <c r="J24" t="b">
        <f>OR(E24&gt;18,E24&lt;90)</f>
        <v>1</v>
      </c>
      <c r="K24" t="b">
        <f>NOT(E24&gt;18)</f>
        <v>1</v>
      </c>
      <c r="L24" t="b">
        <f>_xlfn.XOR(E24&gt;18,E24&lt;90)</f>
        <v>1</v>
      </c>
      <c r="M24" t="str">
        <f>IF(H24="MINOR","CANNOT VOTE","CAN VOTE")</f>
        <v>CANNOT VOTE</v>
      </c>
      <c r="R24" s="2" t="s">
        <v>46</v>
      </c>
      <c r="S24">
        <f>SUMIFS(T10:T14,R10:R14,R12,S10:S14,S12)</f>
        <v>220</v>
      </c>
      <c r="X24" s="1" t="s">
        <v>50</v>
      </c>
      <c r="Z24" s="3" t="s">
        <v>88</v>
      </c>
    </row>
    <row r="25" spans="4:28" x14ac:dyDescent="0.25">
      <c r="D25" t="s">
        <v>26</v>
      </c>
      <c r="E25">
        <v>26</v>
      </c>
      <c r="F25" t="s">
        <v>60</v>
      </c>
      <c r="G25" t="str">
        <f t="shared" ref="G25:G28" si="0">IF(E25&gt;18,"MAJOR","MINOR")</f>
        <v>MAJOR</v>
      </c>
      <c r="H25" t="str">
        <f t="shared" ref="H25:H26" si="1">IF(E25&gt;18,"MAJOR",IF(E25&lt;218,"MINOR",IF(E25&gt;60,"OLD AGE")))</f>
        <v>MAJOR</v>
      </c>
      <c r="I25" t="b">
        <f t="shared" ref="I25:I28" si="2">AND(E25&gt;18,E25&lt;90)</f>
        <v>1</v>
      </c>
      <c r="J25" t="b">
        <f t="shared" ref="J25:J28" si="3">OR(E25&gt;18,E25&lt;90)</f>
        <v>1</v>
      </c>
      <c r="K25" t="b">
        <f t="shared" ref="K25:K28" si="4">NOT(E25&gt;18)</f>
        <v>0</v>
      </c>
      <c r="L25" t="b">
        <f t="shared" ref="L25:L28" si="5">_xlfn.XOR(E25&gt;18,E25&lt;90)</f>
        <v>0</v>
      </c>
      <c r="M25" t="str">
        <f t="shared" ref="M25:M28" si="6">IF(H25="MINOR","CANNOT VOTE","CAN VOTE")</f>
        <v>CAN VOTE</v>
      </c>
      <c r="R25" s="26" t="s">
        <v>47</v>
      </c>
      <c r="S25">
        <f>AVERAGE(T10:T14)</f>
        <v>76</v>
      </c>
      <c r="X25" s="8">
        <f ca="1">TODAY()</f>
        <v>46179</v>
      </c>
      <c r="Z25">
        <f ca="1">EOMONTH(TODAY(),2)</f>
        <v>46265</v>
      </c>
    </row>
    <row r="26" spans="4:28" x14ac:dyDescent="0.25">
      <c r="D26" t="s">
        <v>23</v>
      </c>
      <c r="E26">
        <v>16</v>
      </c>
      <c r="F26" t="s">
        <v>59</v>
      </c>
      <c r="G26" t="str">
        <f t="shared" si="0"/>
        <v>MINOR</v>
      </c>
      <c r="H26" t="str">
        <f t="shared" si="1"/>
        <v>MINOR</v>
      </c>
      <c r="I26" t="b">
        <f t="shared" si="2"/>
        <v>0</v>
      </c>
      <c r="J26" t="b">
        <f t="shared" si="3"/>
        <v>1</v>
      </c>
      <c r="K26" t="b">
        <f t="shared" si="4"/>
        <v>1</v>
      </c>
      <c r="L26" t="b">
        <f t="shared" si="5"/>
        <v>1</v>
      </c>
      <c r="M26" t="str">
        <f t="shared" si="6"/>
        <v>CANNOT VOTE</v>
      </c>
      <c r="R26" s="30" t="s">
        <v>48</v>
      </c>
      <c r="S26">
        <f>AVERAGEIF(R10:R14,R12,T10:T14)</f>
        <v>73.333333333333329</v>
      </c>
    </row>
    <row r="27" spans="4:28" x14ac:dyDescent="0.25">
      <c r="D27" t="s">
        <v>23</v>
      </c>
      <c r="E27">
        <v>78</v>
      </c>
      <c r="F27" t="s">
        <v>60</v>
      </c>
      <c r="G27" t="str">
        <f t="shared" si="0"/>
        <v>MAJOR</v>
      </c>
      <c r="H27" t="str">
        <f>IF(E27&gt;18,"MAJOR",IF(E27&lt;218,"MINOR",IF(E27&gt;H2169,"OLD AGE")))</f>
        <v>MAJOR</v>
      </c>
      <c r="I27" t="b">
        <f t="shared" si="2"/>
        <v>1</v>
      </c>
      <c r="J27" t="b">
        <f t="shared" si="3"/>
        <v>1</v>
      </c>
      <c r="K27" t="b">
        <f t="shared" si="4"/>
        <v>0</v>
      </c>
      <c r="L27" t="b">
        <f t="shared" si="5"/>
        <v>0</v>
      </c>
      <c r="M27" t="str">
        <f t="shared" si="6"/>
        <v>CAN VOTE</v>
      </c>
      <c r="R27" s="33" t="s">
        <v>49</v>
      </c>
      <c r="S27">
        <f>AVERAGEIFS(T10:T14,R10:R14,R12,S10:S14,S12)</f>
        <v>73.333333333333329</v>
      </c>
      <c r="X27" s="2" t="s">
        <v>89</v>
      </c>
      <c r="Y27" s="2"/>
      <c r="Z27" s="4" t="s">
        <v>90</v>
      </c>
    </row>
    <row r="28" spans="4:28" x14ac:dyDescent="0.25">
      <c r="D28" t="s">
        <v>26</v>
      </c>
      <c r="E28">
        <v>2</v>
      </c>
      <c r="F28" t="s">
        <v>59</v>
      </c>
      <c r="G28" t="str">
        <f t="shared" si="0"/>
        <v>MINOR</v>
      </c>
      <c r="H28" t="str">
        <f t="shared" ref="H28" si="7">IF(E28&gt;18,"MAJOR",IF(E28&lt;218,"MINOR",IF(E28&gt;60,"OLD AGE")))</f>
        <v>MINOR</v>
      </c>
      <c r="I28" t="b">
        <f t="shared" si="2"/>
        <v>0</v>
      </c>
      <c r="J28" t="b">
        <f t="shared" si="3"/>
        <v>1</v>
      </c>
      <c r="K28" t="b">
        <f t="shared" si="4"/>
        <v>1</v>
      </c>
      <c r="L28" t="b">
        <f t="shared" si="5"/>
        <v>1</v>
      </c>
      <c r="M28" t="str">
        <f t="shared" si="6"/>
        <v>CANNOT VOTE</v>
      </c>
      <c r="S28" t="str">
        <f>MID("REETHU",1,3)</f>
        <v>REE</v>
      </c>
      <c r="X28">
        <f ca="1">NETWORKDAYS(TODAY(),TODAY(),1)</f>
        <v>0</v>
      </c>
      <c r="Z28">
        <f ca="1">WEEKDAY(TODAY(),2)</f>
        <v>6</v>
      </c>
    </row>
    <row r="31" spans="4:28" ht="15.75" thickBot="1" x14ac:dyDescent="0.3"/>
    <row r="32" spans="4:28" ht="15.75" thickBot="1" x14ac:dyDescent="0.3">
      <c r="E32" s="15"/>
      <c r="F32" s="15"/>
      <c r="G32" s="15"/>
      <c r="H32" s="16"/>
      <c r="I32" s="15"/>
      <c r="J32" s="15"/>
      <c r="K32" s="15"/>
      <c r="L32" s="1" t="s">
        <v>63</v>
      </c>
      <c r="M32" s="2"/>
      <c r="N32" s="23"/>
    </row>
    <row r="33" spans="1:33" ht="15.75" thickBot="1" x14ac:dyDescent="0.3">
      <c r="E33" s="15"/>
      <c r="F33" s="15"/>
      <c r="G33" s="15"/>
      <c r="H33" s="15"/>
      <c r="I33" s="15"/>
      <c r="J33" s="15"/>
      <c r="K33" s="15"/>
    </row>
    <row r="34" spans="1:33" ht="16.5" thickTop="1" thickBot="1" x14ac:dyDescent="0.3">
      <c r="E34" s="18" t="s">
        <v>64</v>
      </c>
      <c r="F34" s="19" t="s">
        <v>1</v>
      </c>
      <c r="G34" s="20" t="s">
        <v>57</v>
      </c>
      <c r="H34" s="21" t="s">
        <v>65</v>
      </c>
      <c r="I34" s="22" t="s">
        <v>66</v>
      </c>
      <c r="J34" s="15"/>
      <c r="K34" s="15"/>
    </row>
    <row r="35" spans="1:33" x14ac:dyDescent="0.25">
      <c r="E35" t="s">
        <v>78</v>
      </c>
      <c r="F35" t="s">
        <v>79</v>
      </c>
      <c r="G35" t="s">
        <v>80</v>
      </c>
      <c r="H35" t="s">
        <v>81</v>
      </c>
      <c r="I35" t="s">
        <v>82</v>
      </c>
      <c r="L35" s="4" t="s">
        <v>67</v>
      </c>
      <c r="M35" s="11" t="s">
        <v>68</v>
      </c>
      <c r="N35" s="24" t="s">
        <v>69</v>
      </c>
      <c r="O35" s="24"/>
      <c r="P35" s="25" t="s">
        <v>70</v>
      </c>
      <c r="Q35" s="26" t="s">
        <v>71</v>
      </c>
      <c r="R35" s="27" t="s">
        <v>72</v>
      </c>
      <c r="S35" s="28" t="s">
        <v>40</v>
      </c>
      <c r="T35" s="29" t="s">
        <v>73</v>
      </c>
      <c r="U35" s="30" t="s">
        <v>74</v>
      </c>
      <c r="V35" s="24" t="s">
        <v>75</v>
      </c>
      <c r="W35" s="31" t="s">
        <v>76</v>
      </c>
      <c r="X35" s="3" t="s">
        <v>77</v>
      </c>
      <c r="Y35" s="2" t="s">
        <v>83</v>
      </c>
      <c r="Z35" s="2"/>
      <c r="AF35" s="1" t="s">
        <v>176</v>
      </c>
    </row>
    <row r="36" spans="1:33" x14ac:dyDescent="0.25">
      <c r="E36">
        <v>1</v>
      </c>
      <c r="F36" t="s">
        <v>3</v>
      </c>
      <c r="G36">
        <v>23</v>
      </c>
      <c r="H36">
        <v>0</v>
      </c>
      <c r="I36">
        <v>32.75</v>
      </c>
      <c r="L36">
        <f>COUNT(E36:E44)</f>
        <v>9</v>
      </c>
      <c r="M36">
        <f>COUNTA(G34:I44)</f>
        <v>33</v>
      </c>
      <c r="N36">
        <f>COUNTBLANK(E36:E47)</f>
        <v>3</v>
      </c>
      <c r="P36">
        <f>COUNTIF(G36:G44,"&gt;50")</f>
        <v>3</v>
      </c>
      <c r="Q36">
        <f>COUNTIFS(G36:G44,"&gt;50",I36:I44,"&gt;40")</f>
        <v>2</v>
      </c>
      <c r="R36">
        <f>GEOMEAN(E36:E44)</f>
        <v>4.1471662743969127</v>
      </c>
      <c r="S36">
        <f>MEDIAN(E36:E40)</f>
        <v>3</v>
      </c>
      <c r="T36">
        <f>_xlfn.MODE.SNGL(1,12,11,1)</f>
        <v>1</v>
      </c>
      <c r="U36">
        <f>_xlfn.STDEV.S(G36:G44)</f>
        <v>21.403530342238202</v>
      </c>
      <c r="V36">
        <f>_xlfn.VAR.S(G36:G44)</f>
        <v>458.11111111111131</v>
      </c>
      <c r="W36">
        <f>_xlfn.STDEV.P(E36:I44)</f>
        <v>32.086595271065448</v>
      </c>
      <c r="X36">
        <f>_xlfn.VAR.P(E36:I44)</f>
        <v>1029.5495960891594</v>
      </c>
      <c r="Y36">
        <f>CORREL(Table1[Column4],Table1[Column5])</f>
        <v>0.44249037274260661</v>
      </c>
      <c r="AE36" t="s">
        <v>177</v>
      </c>
      <c r="AF36" t="s">
        <v>176</v>
      </c>
      <c r="AG36" t="s">
        <v>178</v>
      </c>
    </row>
    <row r="37" spans="1:33" x14ac:dyDescent="0.25">
      <c r="E37">
        <v>2</v>
      </c>
      <c r="F37" t="s">
        <v>4</v>
      </c>
      <c r="G37">
        <v>34</v>
      </c>
      <c r="H37">
        <v>83.452299999999994</v>
      </c>
      <c r="I37">
        <v>31.8765</v>
      </c>
      <c r="L37">
        <f>COUNT(E34:E44)</f>
        <v>9</v>
      </c>
      <c r="M37">
        <f>COUNTA(E34:E44)</f>
        <v>11</v>
      </c>
      <c r="R37">
        <f>GEOMEAN(E36:E38)</f>
        <v>1.8171205928321397</v>
      </c>
      <c r="S37">
        <f>MEDIAN(G36:G44)</f>
        <v>45</v>
      </c>
      <c r="Y37">
        <f>CORREL(Table1[Column1],Table1[Column3])</f>
        <v>0.30495096085726808</v>
      </c>
      <c r="AE37">
        <v>1</v>
      </c>
      <c r="AF37" s="62" t="s">
        <v>179</v>
      </c>
      <c r="AG37">
        <v>8763987</v>
      </c>
    </row>
    <row r="38" spans="1:33" x14ac:dyDescent="0.25">
      <c r="E38">
        <v>3</v>
      </c>
      <c r="F38" s="17" t="s">
        <v>5</v>
      </c>
      <c r="G38">
        <v>45</v>
      </c>
      <c r="H38">
        <v>55.411999999999999</v>
      </c>
      <c r="I38">
        <v>98.543000000000006</v>
      </c>
      <c r="AE38">
        <v>2</v>
      </c>
      <c r="AF38" t="s">
        <v>180</v>
      </c>
      <c r="AG38">
        <v>32864782</v>
      </c>
    </row>
    <row r="39" spans="1:33" x14ac:dyDescent="0.25">
      <c r="E39">
        <v>4</v>
      </c>
      <c r="F39" s="17" t="s">
        <v>6</v>
      </c>
      <c r="G39">
        <v>76</v>
      </c>
      <c r="H39">
        <v>67.776499999999999</v>
      </c>
      <c r="I39">
        <v>32.784999999999997</v>
      </c>
      <c r="L39" s="30" t="s">
        <v>84</v>
      </c>
      <c r="M39" s="30" t="s">
        <v>85</v>
      </c>
      <c r="N39" s="30" t="s">
        <v>73</v>
      </c>
      <c r="AE39">
        <v>3</v>
      </c>
      <c r="AF39" t="s">
        <v>181</v>
      </c>
      <c r="AG39">
        <v>43645</v>
      </c>
    </row>
    <row r="40" spans="1:33" x14ac:dyDescent="0.25">
      <c r="E40">
        <v>5</v>
      </c>
      <c r="F40" s="17" t="s">
        <v>7</v>
      </c>
      <c r="G40">
        <v>87</v>
      </c>
      <c r="H40">
        <v>64.152000000000001</v>
      </c>
      <c r="I40">
        <v>78.561000000000007</v>
      </c>
      <c r="L40" s="61" t="s">
        <v>86</v>
      </c>
      <c r="M40">
        <v>0</v>
      </c>
      <c r="N40">
        <f>MODE(M40:M44)</f>
        <v>1</v>
      </c>
    </row>
    <row r="41" spans="1:33" x14ac:dyDescent="0.25">
      <c r="E41">
        <v>6</v>
      </c>
      <c r="F41" s="17" t="s">
        <v>8</v>
      </c>
      <c r="G41">
        <v>44</v>
      </c>
      <c r="H41">
        <v>12.227</v>
      </c>
      <c r="I41">
        <v>32.875999999999998</v>
      </c>
      <c r="L41" s="61" t="s">
        <v>87</v>
      </c>
      <c r="M41">
        <v>1</v>
      </c>
      <c r="N41" cm="1">
        <f t="array" ref="N41">_xlfn.MODE.MULT(M40:M44)</f>
        <v>1</v>
      </c>
    </row>
    <row r="42" spans="1:33" x14ac:dyDescent="0.25">
      <c r="E42">
        <v>7</v>
      </c>
      <c r="F42" s="17" t="s">
        <v>9</v>
      </c>
      <c r="G42">
        <v>32</v>
      </c>
      <c r="H42">
        <v>97.861000000000004</v>
      </c>
      <c r="I42">
        <v>87.653999999999996</v>
      </c>
      <c r="L42" s="61" t="s">
        <v>86</v>
      </c>
      <c r="M42">
        <v>0</v>
      </c>
      <c r="N42">
        <f>_xlfn.MODE.SNGL(M40:M44)</f>
        <v>1</v>
      </c>
    </row>
    <row r="43" spans="1:33" x14ac:dyDescent="0.25">
      <c r="E43">
        <v>8</v>
      </c>
      <c r="F43" s="17" t="s">
        <v>10</v>
      </c>
      <c r="G43">
        <v>45</v>
      </c>
      <c r="H43">
        <v>68.432000000000002</v>
      </c>
      <c r="I43">
        <v>54.896000000000001</v>
      </c>
      <c r="L43" s="61" t="s">
        <v>87</v>
      </c>
      <c r="M43">
        <v>1</v>
      </c>
    </row>
    <row r="44" spans="1:33" x14ac:dyDescent="0.25">
      <c r="E44">
        <v>9</v>
      </c>
      <c r="F44" s="17" t="s">
        <v>11</v>
      </c>
      <c r="G44">
        <v>65</v>
      </c>
      <c r="H44">
        <v>98.820999999999998</v>
      </c>
      <c r="I44">
        <v>66.477999999999994</v>
      </c>
      <c r="L44" s="61" t="s">
        <v>87</v>
      </c>
      <c r="M44">
        <v>1</v>
      </c>
    </row>
    <row r="47" spans="1:33" ht="20.25" thickBot="1" x14ac:dyDescent="0.35">
      <c r="H47" s="107" t="s">
        <v>168</v>
      </c>
      <c r="I47" s="107" t="s">
        <v>91</v>
      </c>
      <c r="J47" s="107"/>
    </row>
    <row r="48" spans="1:33" ht="15.75" thickTop="1" x14ac:dyDescent="0.25">
      <c r="A48" s="36" t="s">
        <v>92</v>
      </c>
      <c r="B48" s="37" t="s">
        <v>93</v>
      </c>
      <c r="C48" s="37" t="s">
        <v>94</v>
      </c>
      <c r="D48" s="37" t="s">
        <v>95</v>
      </c>
      <c r="E48" s="37" t="s">
        <v>96</v>
      </c>
      <c r="F48" s="37" t="s">
        <v>97</v>
      </c>
      <c r="G48" s="37" t="s">
        <v>98</v>
      </c>
      <c r="H48" s="37" t="s">
        <v>99</v>
      </c>
      <c r="I48" s="37" t="s">
        <v>100</v>
      </c>
      <c r="J48" s="37" t="s">
        <v>101</v>
      </c>
      <c r="K48" s="37" t="s">
        <v>102</v>
      </c>
      <c r="L48" s="37" t="s">
        <v>103</v>
      </c>
      <c r="M48" s="37" t="s">
        <v>104</v>
      </c>
      <c r="N48" s="37"/>
      <c r="O48" s="38" t="s">
        <v>50</v>
      </c>
    </row>
    <row r="49" spans="1:42" x14ac:dyDescent="0.25">
      <c r="A49" s="63">
        <v>1</v>
      </c>
      <c r="B49" s="64">
        <v>0</v>
      </c>
      <c r="C49" s="65" t="s">
        <v>105</v>
      </c>
      <c r="D49" s="66">
        <v>619</v>
      </c>
      <c r="E49" s="67" t="s">
        <v>106</v>
      </c>
      <c r="F49" s="68" t="s">
        <v>107</v>
      </c>
      <c r="G49" s="85">
        <v>42</v>
      </c>
      <c r="H49" s="87">
        <v>2</v>
      </c>
      <c r="I49" s="69">
        <v>0</v>
      </c>
      <c r="J49" s="70">
        <v>1</v>
      </c>
      <c r="K49" s="71">
        <v>1</v>
      </c>
      <c r="L49" s="89">
        <v>1</v>
      </c>
      <c r="M49" s="72">
        <v>101348.88</v>
      </c>
      <c r="N49" s="65"/>
      <c r="O49" s="73">
        <v>45780</v>
      </c>
      <c r="R49" t="s">
        <v>237</v>
      </c>
    </row>
    <row r="50" spans="1:42" x14ac:dyDescent="0.25">
      <c r="A50" s="63">
        <v>2</v>
      </c>
      <c r="B50" s="64">
        <v>-1</v>
      </c>
      <c r="C50" s="65" t="s">
        <v>108</v>
      </c>
      <c r="D50" s="66">
        <v>608</v>
      </c>
      <c r="E50" s="67" t="s">
        <v>109</v>
      </c>
      <c r="F50" s="68" t="s">
        <v>107</v>
      </c>
      <c r="G50" s="85">
        <v>41</v>
      </c>
      <c r="H50" s="87">
        <v>1</v>
      </c>
      <c r="I50" s="69">
        <v>83807.86</v>
      </c>
      <c r="J50" s="70">
        <v>0</v>
      </c>
      <c r="K50" s="71">
        <v>0</v>
      </c>
      <c r="L50" s="89">
        <v>1</v>
      </c>
      <c r="M50" s="72">
        <v>112542.58</v>
      </c>
      <c r="N50" s="65"/>
      <c r="O50" s="73">
        <f ca="1">TODAY()</f>
        <v>46179</v>
      </c>
    </row>
    <row r="51" spans="1:42" x14ac:dyDescent="0.25">
      <c r="A51" s="63">
        <v>3</v>
      </c>
      <c r="B51" s="64">
        <v>15619304</v>
      </c>
      <c r="C51" s="65" t="s">
        <v>110</v>
      </c>
      <c r="D51" s="66">
        <v>502</v>
      </c>
      <c r="E51" s="67" t="s">
        <v>106</v>
      </c>
      <c r="F51" s="68" t="s">
        <v>107</v>
      </c>
      <c r="G51" s="85">
        <v>42</v>
      </c>
      <c r="H51" s="87">
        <v>8</v>
      </c>
      <c r="I51" s="69">
        <v>159660.79999999999</v>
      </c>
      <c r="J51" s="70">
        <v>-1</v>
      </c>
      <c r="K51" s="71">
        <v>1</v>
      </c>
      <c r="L51" s="89">
        <v>0</v>
      </c>
      <c r="M51" s="72">
        <v>113931.57</v>
      </c>
      <c r="N51" s="65"/>
      <c r="O51" s="73">
        <v>46178</v>
      </c>
    </row>
    <row r="52" spans="1:42" x14ac:dyDescent="0.25">
      <c r="A52" s="63">
        <v>4</v>
      </c>
      <c r="B52" s="64">
        <v>15701354</v>
      </c>
      <c r="C52" s="65" t="s">
        <v>111</v>
      </c>
      <c r="D52" s="66">
        <v>699</v>
      </c>
      <c r="E52" s="67" t="s">
        <v>106</v>
      </c>
      <c r="F52" s="68" t="s">
        <v>107</v>
      </c>
      <c r="G52" s="85">
        <v>39</v>
      </c>
      <c r="H52" s="87">
        <v>1</v>
      </c>
      <c r="I52" s="69">
        <v>0</v>
      </c>
      <c r="J52" s="70">
        <v>-1</v>
      </c>
      <c r="K52" s="71">
        <v>0</v>
      </c>
      <c r="L52" s="89">
        <v>0</v>
      </c>
      <c r="M52" s="72">
        <v>93826.63</v>
      </c>
      <c r="N52" s="91">
        <v>-678</v>
      </c>
      <c r="O52" s="73">
        <f t="shared" ref="O52" ca="1" si="8">TODAY()</f>
        <v>46179</v>
      </c>
    </row>
    <row r="53" spans="1:42" x14ac:dyDescent="0.25">
      <c r="A53" s="63">
        <v>5</v>
      </c>
      <c r="B53" s="64">
        <v>15737888</v>
      </c>
      <c r="C53" s="65" t="s">
        <v>112</v>
      </c>
      <c r="D53" s="66">
        <v>850</v>
      </c>
      <c r="E53" s="67" t="s">
        <v>109</v>
      </c>
      <c r="F53" s="68" t="s">
        <v>107</v>
      </c>
      <c r="G53" s="85">
        <v>43</v>
      </c>
      <c r="H53" s="87">
        <v>2</v>
      </c>
      <c r="I53" s="69">
        <v>125510.82</v>
      </c>
      <c r="J53" s="70">
        <v>1</v>
      </c>
      <c r="K53" s="71">
        <v>1</v>
      </c>
      <c r="L53" s="89">
        <v>1</v>
      </c>
      <c r="M53" s="72">
        <v>79084.100000000006</v>
      </c>
      <c r="N53" s="91">
        <v>57</v>
      </c>
      <c r="O53" s="73">
        <v>46179</v>
      </c>
    </row>
    <row r="54" spans="1:42" ht="20.25" thickBot="1" x14ac:dyDescent="0.35">
      <c r="A54" s="63">
        <v>6</v>
      </c>
      <c r="B54" s="64">
        <v>-7675</v>
      </c>
      <c r="C54" s="65" t="s">
        <v>113</v>
      </c>
      <c r="D54" s="66">
        <v>645</v>
      </c>
      <c r="E54" s="67" t="s">
        <v>109</v>
      </c>
      <c r="F54" s="68" t="s">
        <v>114</v>
      </c>
      <c r="G54" s="85">
        <v>44</v>
      </c>
      <c r="H54" s="87">
        <v>8</v>
      </c>
      <c r="I54" s="69">
        <v>113755.78</v>
      </c>
      <c r="J54" s="70">
        <v>2</v>
      </c>
      <c r="K54" s="71">
        <v>1</v>
      </c>
      <c r="L54" s="89">
        <v>-7</v>
      </c>
      <c r="M54" s="72">
        <v>149756.71</v>
      </c>
      <c r="N54" s="91"/>
      <c r="O54" s="73">
        <f t="shared" ref="O54" ca="1" si="9">TODAY()</f>
        <v>46179</v>
      </c>
      <c r="S54" s="107" t="s">
        <v>169</v>
      </c>
      <c r="T54" s="107"/>
      <c r="U54" s="3"/>
    </row>
    <row r="55" spans="1:42" ht="15.75" thickTop="1" x14ac:dyDescent="0.25">
      <c r="A55" s="63">
        <v>7</v>
      </c>
      <c r="B55" s="64">
        <v>15592531</v>
      </c>
      <c r="C55" s="65" t="s">
        <v>115</v>
      </c>
      <c r="D55" s="66">
        <v>822</v>
      </c>
      <c r="E55" s="67" t="s">
        <v>106</v>
      </c>
      <c r="F55" s="68" t="s">
        <v>114</v>
      </c>
      <c r="G55" s="85">
        <v>50</v>
      </c>
      <c r="H55" s="87">
        <v>7</v>
      </c>
      <c r="I55" s="69">
        <v>0</v>
      </c>
      <c r="J55" s="70">
        <v>-1</v>
      </c>
      <c r="K55" s="71">
        <v>1</v>
      </c>
      <c r="L55" s="89">
        <v>-987</v>
      </c>
      <c r="M55" s="72">
        <v>10062.799999999999</v>
      </c>
      <c r="N55" s="65"/>
      <c r="O55" s="73">
        <v>46180</v>
      </c>
    </row>
    <row r="56" spans="1:42" x14ac:dyDescent="0.25">
      <c r="A56" s="63">
        <v>8</v>
      </c>
      <c r="B56" s="64">
        <v>15656148</v>
      </c>
      <c r="C56" s="65" t="s">
        <v>116</v>
      </c>
      <c r="D56" s="66">
        <v>376</v>
      </c>
      <c r="E56" s="67" t="s">
        <v>117</v>
      </c>
      <c r="F56" s="68" t="s">
        <v>107</v>
      </c>
      <c r="G56" s="85">
        <v>29</v>
      </c>
      <c r="H56" s="87">
        <v>4</v>
      </c>
      <c r="I56" s="69">
        <v>115046.74</v>
      </c>
      <c r="J56" s="70">
        <v>4</v>
      </c>
      <c r="K56" s="71">
        <v>1</v>
      </c>
      <c r="L56" s="89">
        <v>0</v>
      </c>
      <c r="M56" s="72">
        <v>119346.88</v>
      </c>
      <c r="N56" s="65"/>
      <c r="O56" s="73">
        <f t="shared" ref="O56" ca="1" si="10">TODAY()</f>
        <v>46179</v>
      </c>
      <c r="Q56" s="54" t="s">
        <v>133</v>
      </c>
      <c r="R56" s="55">
        <v>0</v>
      </c>
      <c r="S56" s="39">
        <v>0</v>
      </c>
      <c r="T56" s="56" t="s">
        <v>134</v>
      </c>
      <c r="U56" s="39">
        <v>0</v>
      </c>
      <c r="V56" s="56" t="s">
        <v>136</v>
      </c>
      <c r="W56" s="57" t="s">
        <v>135</v>
      </c>
      <c r="AD56" s="33" t="s">
        <v>137</v>
      </c>
      <c r="AE56" s="33"/>
      <c r="AF56" s="33"/>
      <c r="AM56" s="61" t="s">
        <v>154</v>
      </c>
      <c r="AN56" s="61"/>
    </row>
    <row r="57" spans="1:42" x14ac:dyDescent="0.25">
      <c r="A57" s="63">
        <v>9</v>
      </c>
      <c r="B57" s="64">
        <v>15792365</v>
      </c>
      <c r="C57" s="65" t="s">
        <v>118</v>
      </c>
      <c r="D57" s="66">
        <v>501</v>
      </c>
      <c r="E57" s="67" t="s">
        <v>106</v>
      </c>
      <c r="F57" s="68" t="s">
        <v>114</v>
      </c>
      <c r="G57" s="85">
        <v>44</v>
      </c>
      <c r="H57" s="87">
        <v>4</v>
      </c>
      <c r="I57" s="69">
        <v>142051.07</v>
      </c>
      <c r="J57" s="70">
        <v>2</v>
      </c>
      <c r="K57" s="71">
        <v>0</v>
      </c>
      <c r="L57" s="89">
        <v>1</v>
      </c>
      <c r="M57" s="72">
        <v>74940.5</v>
      </c>
      <c r="N57" s="65"/>
      <c r="O57" s="73">
        <v>46181</v>
      </c>
      <c r="Q57" s="40">
        <v>0.24</v>
      </c>
      <c r="R57" s="41">
        <v>0.24</v>
      </c>
      <c r="S57" s="42">
        <v>0.24</v>
      </c>
      <c r="T57" s="43">
        <v>0.24</v>
      </c>
      <c r="U57" s="44">
        <v>0.24</v>
      </c>
      <c r="V57" s="45">
        <v>0.24</v>
      </c>
      <c r="W57" s="46">
        <v>0.24</v>
      </c>
      <c r="AB57" s="58" t="s">
        <v>140</v>
      </c>
      <c r="AC57" s="58" t="s">
        <v>138</v>
      </c>
      <c r="AD57" s="58" t="s">
        <v>139</v>
      </c>
      <c r="AE57" s="58" t="s">
        <v>141</v>
      </c>
      <c r="AF57" s="58" t="s">
        <v>151</v>
      </c>
      <c r="AG57" s="58" t="s">
        <v>47</v>
      </c>
      <c r="AH57" s="59" t="s">
        <v>152</v>
      </c>
      <c r="AI57" s="59" t="s">
        <v>153</v>
      </c>
      <c r="AK57" t="s">
        <v>155</v>
      </c>
      <c r="AL57" t="s">
        <v>1</v>
      </c>
      <c r="AM57" t="s">
        <v>156</v>
      </c>
      <c r="AN57" t="s">
        <v>157</v>
      </c>
      <c r="AO57" t="s">
        <v>158</v>
      </c>
      <c r="AP57" t="s">
        <v>159</v>
      </c>
    </row>
    <row r="58" spans="1:42" x14ac:dyDescent="0.25">
      <c r="A58" s="63">
        <v>10</v>
      </c>
      <c r="B58" s="64">
        <v>15592389</v>
      </c>
      <c r="C58" s="65" t="s">
        <v>119</v>
      </c>
      <c r="D58" s="66">
        <v>684</v>
      </c>
      <c r="E58" s="67" t="s">
        <v>106</v>
      </c>
      <c r="F58" s="68" t="s">
        <v>114</v>
      </c>
      <c r="G58" s="85">
        <v>27</v>
      </c>
      <c r="H58" s="87">
        <v>2</v>
      </c>
      <c r="I58" s="69">
        <v>134603.88</v>
      </c>
      <c r="J58" s="70">
        <v>1</v>
      </c>
      <c r="K58" s="71">
        <v>1</v>
      </c>
      <c r="L58" s="89">
        <v>-786</v>
      </c>
      <c r="M58" s="72">
        <v>71725.73</v>
      </c>
      <c r="N58" s="65"/>
      <c r="O58" s="73">
        <f t="shared" ref="O58" ca="1" si="11">TODAY()</f>
        <v>46179</v>
      </c>
      <c r="Q58" s="40">
        <v>0.26</v>
      </c>
      <c r="R58" s="41">
        <v>0.26</v>
      </c>
      <c r="S58" s="42">
        <v>0.26</v>
      </c>
      <c r="T58" s="43">
        <v>0.26</v>
      </c>
      <c r="U58" s="44">
        <v>0.26</v>
      </c>
      <c r="V58" s="45">
        <v>0.26</v>
      </c>
      <c r="W58" s="46">
        <v>0.26</v>
      </c>
      <c r="AB58" s="60">
        <v>44312</v>
      </c>
      <c r="AC58" s="60">
        <v>43594</v>
      </c>
      <c r="AD58" s="60">
        <v>8967543</v>
      </c>
      <c r="AE58" s="60" t="s">
        <v>142</v>
      </c>
      <c r="AF58" s="60">
        <v>7254</v>
      </c>
      <c r="AG58" s="60">
        <v>7254</v>
      </c>
      <c r="AH58" s="60">
        <v>7254</v>
      </c>
      <c r="AI58" s="60">
        <v>5621684</v>
      </c>
      <c r="AK58">
        <v>1</v>
      </c>
      <c r="AL58" t="s">
        <v>160</v>
      </c>
      <c r="AM58">
        <v>36754</v>
      </c>
      <c r="AN58">
        <v>87564</v>
      </c>
      <c r="AO58">
        <v>19</v>
      </c>
      <c r="AP58" t="s">
        <v>170</v>
      </c>
    </row>
    <row r="59" spans="1:42" x14ac:dyDescent="0.25">
      <c r="A59" s="63">
        <v>11</v>
      </c>
      <c r="B59" s="64">
        <v>15767821</v>
      </c>
      <c r="C59" s="65" t="s">
        <v>120</v>
      </c>
      <c r="D59" s="66">
        <v>528</v>
      </c>
      <c r="E59" s="67" t="s">
        <v>106</v>
      </c>
      <c r="F59" s="68" t="s">
        <v>114</v>
      </c>
      <c r="G59" s="85">
        <v>31</v>
      </c>
      <c r="H59" s="87">
        <v>6</v>
      </c>
      <c r="I59" s="69">
        <v>102016.72</v>
      </c>
      <c r="J59" s="70">
        <v>2</v>
      </c>
      <c r="K59" s="71">
        <v>0</v>
      </c>
      <c r="L59" s="89">
        <v>0</v>
      </c>
      <c r="M59" s="72">
        <v>80181.119999999995</v>
      </c>
      <c r="N59" s="65"/>
      <c r="O59" s="73">
        <v>46179</v>
      </c>
      <c r="Q59" s="40">
        <v>0.26</v>
      </c>
      <c r="R59" s="41">
        <v>0.26</v>
      </c>
      <c r="S59" s="42">
        <v>0.26</v>
      </c>
      <c r="T59" s="43">
        <v>0.26</v>
      </c>
      <c r="U59" s="44">
        <v>0.26</v>
      </c>
      <c r="V59" s="45">
        <v>0.26</v>
      </c>
      <c r="W59" s="46">
        <v>0.26</v>
      </c>
      <c r="AB59" s="60">
        <v>-168265</v>
      </c>
      <c r="AC59" s="60">
        <v>4674</v>
      </c>
      <c r="AD59" s="60">
        <v>375237</v>
      </c>
      <c r="AE59" s="60" t="s">
        <v>143</v>
      </c>
      <c r="AF59" s="60">
        <v>43</v>
      </c>
      <c r="AG59" s="60">
        <v>43</v>
      </c>
      <c r="AH59" s="60">
        <v>43</v>
      </c>
      <c r="AI59" s="60">
        <v>43</v>
      </c>
      <c r="AK59">
        <v>2</v>
      </c>
      <c r="AL59" t="s">
        <v>161</v>
      </c>
      <c r="AM59">
        <v>35789</v>
      </c>
      <c r="AN59">
        <v>324</v>
      </c>
      <c r="AO59">
        <v>20</v>
      </c>
      <c r="AP59" t="s">
        <v>170</v>
      </c>
    </row>
    <row r="60" spans="1:42" x14ac:dyDescent="0.25">
      <c r="A60" s="63">
        <v>12</v>
      </c>
      <c r="B60" s="64">
        <v>15737173</v>
      </c>
      <c r="C60" s="65" t="s">
        <v>121</v>
      </c>
      <c r="D60" s="66">
        <v>497</v>
      </c>
      <c r="E60" s="67" t="s">
        <v>109</v>
      </c>
      <c r="F60" s="68" t="s">
        <v>114</v>
      </c>
      <c r="G60" s="85">
        <v>24</v>
      </c>
      <c r="H60" s="87">
        <v>3</v>
      </c>
      <c r="I60" s="69">
        <v>0</v>
      </c>
      <c r="J60" s="70">
        <v>-1</v>
      </c>
      <c r="K60" s="71">
        <v>1</v>
      </c>
      <c r="L60" s="89">
        <v>0</v>
      </c>
      <c r="M60" s="72">
        <v>76390.009999999995</v>
      </c>
      <c r="N60" s="65"/>
      <c r="O60" s="73">
        <f t="shared" ref="O60:O68" ca="1" si="12">TODAY()</f>
        <v>46179</v>
      </c>
      <c r="Q60" s="40">
        <v>2.33</v>
      </c>
      <c r="R60" s="41">
        <v>2.33</v>
      </c>
      <c r="S60" s="42">
        <v>2.33</v>
      </c>
      <c r="T60" s="43">
        <v>2.33</v>
      </c>
      <c r="U60" s="44">
        <v>2.33</v>
      </c>
      <c r="V60" s="45">
        <v>2.33</v>
      </c>
      <c r="W60" s="46">
        <v>2.33</v>
      </c>
      <c r="AB60" s="60">
        <v>8971</v>
      </c>
      <c r="AC60" s="60">
        <v>3663</v>
      </c>
      <c r="AD60" s="60">
        <v>64</v>
      </c>
      <c r="AE60" s="60" t="s">
        <v>144</v>
      </c>
      <c r="AF60" s="60">
        <v>23876</v>
      </c>
      <c r="AG60" s="60">
        <v>23876</v>
      </c>
      <c r="AH60" s="60">
        <v>23876</v>
      </c>
      <c r="AI60" s="60">
        <v>23876</v>
      </c>
      <c r="AK60">
        <v>3</v>
      </c>
      <c r="AL60" t="s">
        <v>162</v>
      </c>
      <c r="AM60">
        <v>547</v>
      </c>
      <c r="AN60">
        <v>543</v>
      </c>
      <c r="AO60">
        <v>21</v>
      </c>
      <c r="AP60" t="s">
        <v>170</v>
      </c>
    </row>
    <row r="61" spans="1:42" x14ac:dyDescent="0.25">
      <c r="A61" s="63">
        <v>13</v>
      </c>
      <c r="B61" s="64">
        <v>15632264</v>
      </c>
      <c r="C61" s="65" t="s">
        <v>122</v>
      </c>
      <c r="D61" s="66">
        <v>476</v>
      </c>
      <c r="E61" s="67" t="s">
        <v>106</v>
      </c>
      <c r="F61" s="68" t="s">
        <v>107</v>
      </c>
      <c r="G61" s="85">
        <v>34</v>
      </c>
      <c r="H61" s="87">
        <v>10</v>
      </c>
      <c r="I61" s="69">
        <v>0</v>
      </c>
      <c r="J61" s="70">
        <v>2</v>
      </c>
      <c r="K61" s="71">
        <v>1</v>
      </c>
      <c r="L61" s="89">
        <v>0</v>
      </c>
      <c r="M61" s="72">
        <v>26260.98</v>
      </c>
      <c r="N61" s="65"/>
      <c r="O61" s="73">
        <v>46180</v>
      </c>
      <c r="Q61" s="47">
        <v>4.32</v>
      </c>
      <c r="R61" s="48">
        <v>4.32</v>
      </c>
      <c r="S61" s="49">
        <v>4.32</v>
      </c>
      <c r="T61" s="50">
        <v>4.32</v>
      </c>
      <c r="U61" s="51">
        <v>4.32</v>
      </c>
      <c r="V61" s="52">
        <v>4.32</v>
      </c>
      <c r="W61" s="53">
        <v>4.32</v>
      </c>
      <c r="AB61" s="60">
        <v>87324846</v>
      </c>
      <c r="AC61" s="60">
        <v>3256</v>
      </c>
      <c r="AD61" s="60">
        <v>97</v>
      </c>
      <c r="AE61" s="60" t="s">
        <v>145</v>
      </c>
      <c r="AF61" s="60">
        <v>3786</v>
      </c>
      <c r="AG61" s="60">
        <v>3786</v>
      </c>
      <c r="AH61" s="60">
        <v>3786</v>
      </c>
      <c r="AI61" s="60">
        <v>3786</v>
      </c>
      <c r="AK61">
        <v>4</v>
      </c>
      <c r="AL61" t="s">
        <v>142</v>
      </c>
      <c r="AM61">
        <v>765</v>
      </c>
      <c r="AN61">
        <v>5397</v>
      </c>
      <c r="AO61">
        <v>3</v>
      </c>
      <c r="AP61" t="s">
        <v>171</v>
      </c>
    </row>
    <row r="62" spans="1:42" x14ac:dyDescent="0.25">
      <c r="A62" s="63">
        <v>14</v>
      </c>
      <c r="B62" s="64">
        <v>15691483</v>
      </c>
      <c r="C62" s="65" t="s">
        <v>123</v>
      </c>
      <c r="D62" s="66">
        <v>549</v>
      </c>
      <c r="E62" s="67" t="s">
        <v>106</v>
      </c>
      <c r="F62" s="68" t="s">
        <v>107</v>
      </c>
      <c r="G62" s="85">
        <v>25</v>
      </c>
      <c r="H62" s="87">
        <v>5</v>
      </c>
      <c r="I62" s="69">
        <v>0</v>
      </c>
      <c r="J62" s="70">
        <v>2</v>
      </c>
      <c r="K62" s="71">
        <v>0</v>
      </c>
      <c r="L62" s="89">
        <v>0</v>
      </c>
      <c r="M62" s="72">
        <v>190857.79</v>
      </c>
      <c r="N62" s="65"/>
      <c r="O62" s="73">
        <f t="shared" ref="O62:O70" ca="1" si="13">TODAY()</f>
        <v>46179</v>
      </c>
      <c r="AB62" s="60">
        <v>-2838972</v>
      </c>
      <c r="AC62" s="60">
        <v>79896</v>
      </c>
      <c r="AD62" s="60">
        <v>5873</v>
      </c>
      <c r="AE62" s="60" t="s">
        <v>146</v>
      </c>
      <c r="AF62" s="60">
        <v>46785</v>
      </c>
      <c r="AG62" s="60">
        <v>46785</v>
      </c>
      <c r="AH62" s="60">
        <v>46785</v>
      </c>
      <c r="AI62" s="60">
        <v>36457478</v>
      </c>
      <c r="AK62">
        <v>5</v>
      </c>
      <c r="AL62" t="s">
        <v>163</v>
      </c>
      <c r="AM62">
        <v>4645</v>
      </c>
      <c r="AN62">
        <v>89745</v>
      </c>
      <c r="AO62">
        <v>66</v>
      </c>
      <c r="AP62" t="s">
        <v>172</v>
      </c>
    </row>
    <row r="63" spans="1:42" x14ac:dyDescent="0.25">
      <c r="A63" s="63">
        <v>15</v>
      </c>
      <c r="B63" s="64">
        <v>15600882</v>
      </c>
      <c r="C63" s="65" t="s">
        <v>124</v>
      </c>
      <c r="D63" s="66">
        <v>635</v>
      </c>
      <c r="E63" s="67" t="s">
        <v>109</v>
      </c>
      <c r="F63" s="68" t="s">
        <v>107</v>
      </c>
      <c r="G63" s="85">
        <v>35</v>
      </c>
      <c r="H63" s="87">
        <v>7</v>
      </c>
      <c r="I63" s="69">
        <v>0</v>
      </c>
      <c r="J63" s="70">
        <v>2</v>
      </c>
      <c r="K63" s="71">
        <v>1</v>
      </c>
      <c r="L63" s="89">
        <v>1</v>
      </c>
      <c r="M63" s="72">
        <v>65951.649999999994</v>
      </c>
      <c r="N63" s="65"/>
      <c r="O63" s="73">
        <v>46181</v>
      </c>
      <c r="AB63" s="60">
        <v>0</v>
      </c>
      <c r="AC63" s="60">
        <v>6476</v>
      </c>
      <c r="AD63" s="60">
        <v>27286</v>
      </c>
      <c r="AE63" s="60" t="s">
        <v>147</v>
      </c>
      <c r="AF63" s="60">
        <v>5987</v>
      </c>
      <c r="AG63" s="60">
        <v>5987</v>
      </c>
      <c r="AH63" s="60">
        <v>5987</v>
      </c>
      <c r="AI63" s="60">
        <v>5987</v>
      </c>
      <c r="AK63">
        <v>6</v>
      </c>
      <c r="AL63" t="s">
        <v>164</v>
      </c>
      <c r="AM63">
        <v>46436</v>
      </c>
      <c r="AN63">
        <v>9764</v>
      </c>
      <c r="AO63">
        <v>24</v>
      </c>
      <c r="AP63" t="s">
        <v>170</v>
      </c>
    </row>
    <row r="64" spans="1:42" x14ac:dyDescent="0.25">
      <c r="A64" s="63">
        <v>16</v>
      </c>
      <c r="B64" s="64">
        <v>15643966</v>
      </c>
      <c r="C64" s="65" t="s">
        <v>125</v>
      </c>
      <c r="D64" s="66">
        <v>616</v>
      </c>
      <c r="E64" s="67" t="s">
        <v>117</v>
      </c>
      <c r="F64" s="68" t="s">
        <v>114</v>
      </c>
      <c r="G64" s="85">
        <v>45</v>
      </c>
      <c r="H64" s="87">
        <v>3</v>
      </c>
      <c r="I64" s="69">
        <v>143129.41</v>
      </c>
      <c r="J64" s="70">
        <v>2</v>
      </c>
      <c r="K64" s="71">
        <v>0</v>
      </c>
      <c r="L64" s="89">
        <v>1</v>
      </c>
      <c r="M64" s="72">
        <v>64327.26</v>
      </c>
      <c r="N64" s="65"/>
      <c r="O64" s="73">
        <f t="shared" ref="O64" ca="1" si="14">TODAY()</f>
        <v>46179</v>
      </c>
      <c r="AB64" s="60">
        <v>1</v>
      </c>
      <c r="AC64" s="60">
        <v>-76845</v>
      </c>
      <c r="AD64" s="60">
        <v>42875</v>
      </c>
      <c r="AE64" s="60" t="s">
        <v>148</v>
      </c>
      <c r="AF64" s="60">
        <v>6970</v>
      </c>
      <c r="AG64" s="60">
        <v>6970</v>
      </c>
      <c r="AH64" s="60">
        <v>6970</v>
      </c>
      <c r="AI64" s="60">
        <v>6970</v>
      </c>
      <c r="AK64">
        <v>7</v>
      </c>
      <c r="AL64" t="s">
        <v>165</v>
      </c>
      <c r="AM64">
        <v>43643</v>
      </c>
      <c r="AN64">
        <v>4578</v>
      </c>
      <c r="AO64">
        <v>25</v>
      </c>
      <c r="AP64" t="s">
        <v>170</v>
      </c>
    </row>
    <row r="65" spans="1:42" x14ac:dyDescent="0.25">
      <c r="A65" s="63">
        <v>17</v>
      </c>
      <c r="B65" s="64">
        <v>15737452</v>
      </c>
      <c r="C65" s="65" t="s">
        <v>126</v>
      </c>
      <c r="D65" s="66">
        <v>653</v>
      </c>
      <c r="E65" s="67" t="s">
        <v>117</v>
      </c>
      <c r="F65" s="68" t="s">
        <v>114</v>
      </c>
      <c r="G65" s="85">
        <v>58</v>
      </c>
      <c r="H65" s="87">
        <v>1</v>
      </c>
      <c r="I65" s="69">
        <v>132602.88</v>
      </c>
      <c r="J65" s="70">
        <v>1</v>
      </c>
      <c r="K65" s="71">
        <v>1</v>
      </c>
      <c r="L65" s="89">
        <v>0</v>
      </c>
      <c r="M65" s="72">
        <v>5097.67</v>
      </c>
      <c r="N65" s="65"/>
      <c r="O65" s="73">
        <v>46182</v>
      </c>
      <c r="AB65" s="60">
        <v>2324</v>
      </c>
      <c r="AC65" s="60">
        <v>-46346</v>
      </c>
      <c r="AD65" s="60">
        <v>35872</v>
      </c>
      <c r="AE65" s="60" t="s">
        <v>149</v>
      </c>
      <c r="AF65" s="60">
        <v>7877</v>
      </c>
      <c r="AG65" s="60">
        <v>7877</v>
      </c>
      <c r="AH65" s="60">
        <v>7877</v>
      </c>
      <c r="AI65" s="60">
        <v>7877</v>
      </c>
      <c r="AK65">
        <v>8</v>
      </c>
      <c r="AL65" t="s">
        <v>166</v>
      </c>
      <c r="AM65">
        <v>464</v>
      </c>
      <c r="AN65">
        <v>98754</v>
      </c>
      <c r="AO65">
        <v>26</v>
      </c>
      <c r="AP65" t="s">
        <v>173</v>
      </c>
    </row>
    <row r="66" spans="1:42" x14ac:dyDescent="0.25">
      <c r="A66" s="63">
        <v>18</v>
      </c>
      <c r="B66" s="64">
        <v>15788218</v>
      </c>
      <c r="C66" s="65" t="s">
        <v>127</v>
      </c>
      <c r="D66" s="66">
        <v>549</v>
      </c>
      <c r="E66" s="67" t="s">
        <v>109</v>
      </c>
      <c r="F66" s="68" t="s">
        <v>107</v>
      </c>
      <c r="G66" s="85">
        <v>24</v>
      </c>
      <c r="H66" s="87">
        <v>9</v>
      </c>
      <c r="I66" s="69">
        <v>0</v>
      </c>
      <c r="J66" s="70">
        <v>2</v>
      </c>
      <c r="K66" s="71">
        <v>1</v>
      </c>
      <c r="L66" s="89">
        <v>1</v>
      </c>
      <c r="M66" s="72">
        <v>14406.41</v>
      </c>
      <c r="N66" s="65"/>
      <c r="O66" s="73">
        <f t="shared" ref="O66" ca="1" si="15">TODAY()</f>
        <v>46179</v>
      </c>
      <c r="AB66" s="60">
        <v>4</v>
      </c>
      <c r="AC66" s="60">
        <v>-64558</v>
      </c>
      <c r="AD66" s="60">
        <v>-248672</v>
      </c>
      <c r="AE66" s="60" t="s">
        <v>150</v>
      </c>
      <c r="AF66" s="60">
        <v>9987</v>
      </c>
      <c r="AG66" s="60">
        <v>9987</v>
      </c>
      <c r="AH66" s="60">
        <v>9987</v>
      </c>
      <c r="AI66" s="60">
        <v>9987</v>
      </c>
      <c r="AK66">
        <v>9</v>
      </c>
      <c r="AL66" t="s">
        <v>167</v>
      </c>
      <c r="AM66">
        <v>45</v>
      </c>
      <c r="AN66">
        <v>384734</v>
      </c>
      <c r="AO66">
        <v>27</v>
      </c>
      <c r="AP66" t="s">
        <v>174</v>
      </c>
    </row>
    <row r="67" spans="1:42" x14ac:dyDescent="0.25">
      <c r="A67" s="63">
        <v>19</v>
      </c>
      <c r="B67" s="64">
        <v>15661507</v>
      </c>
      <c r="C67" s="65" t="s">
        <v>128</v>
      </c>
      <c r="D67" s="66">
        <v>587</v>
      </c>
      <c r="E67" s="67" t="s">
        <v>109</v>
      </c>
      <c r="F67" s="68" t="s">
        <v>114</v>
      </c>
      <c r="G67" s="85">
        <v>45</v>
      </c>
      <c r="H67" s="87">
        <v>6</v>
      </c>
      <c r="I67" s="69">
        <v>0</v>
      </c>
      <c r="J67" s="70">
        <v>1</v>
      </c>
      <c r="K67" s="71">
        <v>0</v>
      </c>
      <c r="L67" s="89">
        <v>0</v>
      </c>
      <c r="M67" s="72">
        <v>158684.81</v>
      </c>
      <c r="N67" s="65"/>
      <c r="O67" s="73">
        <v>46180</v>
      </c>
      <c r="AK67" t="s">
        <v>175</v>
      </c>
    </row>
    <row r="68" spans="1:42" x14ac:dyDescent="0.25">
      <c r="A68" s="63">
        <v>20</v>
      </c>
      <c r="B68" s="64">
        <v>15568982</v>
      </c>
      <c r="C68" s="65" t="s">
        <v>129</v>
      </c>
      <c r="D68" s="66">
        <v>726</v>
      </c>
      <c r="E68" s="67" t="s">
        <v>106</v>
      </c>
      <c r="F68" s="68" t="s">
        <v>107</v>
      </c>
      <c r="G68" s="85">
        <v>24</v>
      </c>
      <c r="H68" s="87">
        <v>-9</v>
      </c>
      <c r="I68" s="69">
        <v>0</v>
      </c>
      <c r="J68" s="70">
        <v>2</v>
      </c>
      <c r="K68" s="71">
        <v>1</v>
      </c>
      <c r="L68" s="89">
        <v>1</v>
      </c>
      <c r="M68" s="72">
        <v>54724.03</v>
      </c>
      <c r="N68" s="65"/>
      <c r="O68" s="73">
        <f t="shared" ca="1" si="12"/>
        <v>46179</v>
      </c>
    </row>
    <row r="69" spans="1:42" x14ac:dyDescent="0.25">
      <c r="A69" s="63">
        <v>21</v>
      </c>
      <c r="B69" s="64">
        <v>15577657</v>
      </c>
      <c r="C69" s="65" t="s">
        <v>130</v>
      </c>
      <c r="D69" s="66">
        <v>732</v>
      </c>
      <c r="E69" s="67" t="s">
        <v>106</v>
      </c>
      <c r="F69" s="68" t="s">
        <v>114</v>
      </c>
      <c r="G69" s="85">
        <v>41</v>
      </c>
      <c r="H69" s="87">
        <v>0</v>
      </c>
      <c r="I69" s="69">
        <v>0</v>
      </c>
      <c r="J69" s="70">
        <v>2</v>
      </c>
      <c r="K69" s="71">
        <v>1</v>
      </c>
      <c r="L69" s="89">
        <v>1</v>
      </c>
      <c r="M69" s="72">
        <v>170886.17</v>
      </c>
      <c r="N69" s="65"/>
      <c r="O69" s="73">
        <v>46181</v>
      </c>
    </row>
    <row r="70" spans="1:42" x14ac:dyDescent="0.25">
      <c r="A70" s="63">
        <v>22</v>
      </c>
      <c r="B70" s="64">
        <v>15597945</v>
      </c>
      <c r="C70" s="65" t="s">
        <v>131</v>
      </c>
      <c r="D70" s="66">
        <v>636</v>
      </c>
      <c r="E70" s="67" t="s">
        <v>109</v>
      </c>
      <c r="F70" s="68" t="s">
        <v>107</v>
      </c>
      <c r="G70" s="85">
        <v>32</v>
      </c>
      <c r="H70" s="87">
        <v>8</v>
      </c>
      <c r="I70" s="69">
        <v>0</v>
      </c>
      <c r="J70" s="70">
        <v>2</v>
      </c>
      <c r="K70" s="71">
        <v>1</v>
      </c>
      <c r="L70" s="89">
        <v>0</v>
      </c>
      <c r="M70" s="72">
        <v>138555.46</v>
      </c>
      <c r="N70" s="65"/>
      <c r="O70" s="73">
        <f t="shared" ca="1" si="13"/>
        <v>46179</v>
      </c>
    </row>
    <row r="71" spans="1:42" ht="15.75" thickBot="1" x14ac:dyDescent="0.3">
      <c r="A71" s="74">
        <v>23</v>
      </c>
      <c r="B71" s="75">
        <v>15699309</v>
      </c>
      <c r="C71" s="76" t="s">
        <v>132</v>
      </c>
      <c r="D71" s="77">
        <v>510</v>
      </c>
      <c r="E71" s="78" t="s">
        <v>109</v>
      </c>
      <c r="F71" s="79" t="s">
        <v>107</v>
      </c>
      <c r="G71" s="86">
        <v>38</v>
      </c>
      <c r="H71" s="88">
        <v>4</v>
      </c>
      <c r="I71" s="80">
        <v>0</v>
      </c>
      <c r="J71" s="81">
        <v>1</v>
      </c>
      <c r="K71" s="82">
        <v>1</v>
      </c>
      <c r="L71" s="90">
        <v>0</v>
      </c>
      <c r="M71" s="83">
        <v>118913.53</v>
      </c>
      <c r="N71" s="76"/>
      <c r="O71" s="84">
        <v>46182</v>
      </c>
    </row>
    <row r="72" spans="1:42" ht="15.75" thickTop="1" x14ac:dyDescent="0.25">
      <c r="E72" s="35"/>
    </row>
    <row r="75" spans="1:42" ht="20.25" thickBot="1" x14ac:dyDescent="0.35">
      <c r="G75" s="106" t="s">
        <v>231</v>
      </c>
      <c r="H75" s="106"/>
      <c r="I75" s="106"/>
    </row>
    <row r="76" spans="1:42" ht="15.75" thickTop="1" x14ac:dyDescent="0.25"/>
    <row r="77" spans="1:42" ht="30" x14ac:dyDescent="0.25">
      <c r="A77" s="98" t="s">
        <v>182</v>
      </c>
      <c r="B77" s="98" t="s">
        <v>183</v>
      </c>
      <c r="C77" s="98" t="s">
        <v>184</v>
      </c>
      <c r="D77" s="99" t="s">
        <v>185</v>
      </c>
      <c r="E77" s="99" t="s">
        <v>189</v>
      </c>
    </row>
    <row r="78" spans="1:42" ht="20.25" thickBot="1" x14ac:dyDescent="0.35">
      <c r="A78" s="93" t="s">
        <v>186</v>
      </c>
      <c r="B78" s="93" t="s">
        <v>186</v>
      </c>
      <c r="C78" s="93">
        <v>1</v>
      </c>
      <c r="D78" s="92">
        <v>45</v>
      </c>
      <c r="E78" s="94">
        <v>3</v>
      </c>
      <c r="H78" s="100" t="s">
        <v>232</v>
      </c>
      <c r="I78" s="100"/>
    </row>
    <row r="79" spans="1:42" ht="15.75" thickTop="1" x14ac:dyDescent="0.25">
      <c r="A79" s="93" t="s">
        <v>186</v>
      </c>
      <c r="B79" s="93" t="s">
        <v>186</v>
      </c>
      <c r="C79" s="93">
        <v>2</v>
      </c>
      <c r="D79" s="92">
        <v>47</v>
      </c>
      <c r="E79" s="94">
        <v>2</v>
      </c>
    </row>
    <row r="80" spans="1:42" ht="15.75" thickBot="1" x14ac:dyDescent="0.3">
      <c r="A80" s="93" t="s">
        <v>186</v>
      </c>
      <c r="B80" s="93" t="s">
        <v>187</v>
      </c>
      <c r="C80" s="93">
        <v>1</v>
      </c>
      <c r="D80" s="92">
        <v>52</v>
      </c>
      <c r="E80" s="94">
        <v>3</v>
      </c>
      <c r="H80" t="s">
        <v>191</v>
      </c>
    </row>
    <row r="81" spans="1:21" x14ac:dyDescent="0.25">
      <c r="A81" s="93" t="s">
        <v>186</v>
      </c>
      <c r="B81" s="93" t="s">
        <v>187</v>
      </c>
      <c r="C81" s="93">
        <v>2</v>
      </c>
      <c r="D81" s="92">
        <v>50</v>
      </c>
      <c r="E81" s="94">
        <v>66</v>
      </c>
      <c r="H81" s="101" t="s">
        <v>233</v>
      </c>
      <c r="I81" s="101" t="s">
        <v>193</v>
      </c>
      <c r="J81" s="101" t="s">
        <v>194</v>
      </c>
      <c r="K81" s="101" t="s">
        <v>195</v>
      </c>
      <c r="L81" s="101" t="s">
        <v>196</v>
      </c>
    </row>
    <row r="82" spans="1:21" x14ac:dyDescent="0.25">
      <c r="A82" s="93" t="s">
        <v>186</v>
      </c>
      <c r="B82" s="93" t="s">
        <v>188</v>
      </c>
      <c r="C82" s="93">
        <v>1</v>
      </c>
      <c r="D82" s="92">
        <v>58</v>
      </c>
      <c r="E82" s="94">
        <v>8</v>
      </c>
      <c r="H82" t="s">
        <v>184</v>
      </c>
      <c r="I82">
        <v>10</v>
      </c>
      <c r="J82">
        <v>15</v>
      </c>
      <c r="K82">
        <v>1.5</v>
      </c>
      <c r="L82">
        <v>0.27777777777777779</v>
      </c>
    </row>
    <row r="83" spans="1:21" ht="15.75" thickBot="1" x14ac:dyDescent="0.3">
      <c r="A83" s="93" t="s">
        <v>186</v>
      </c>
      <c r="B83" s="93" t="s">
        <v>188</v>
      </c>
      <c r="C83" s="93">
        <v>2</v>
      </c>
      <c r="D83" s="92">
        <v>60</v>
      </c>
      <c r="E83" s="94">
        <v>34</v>
      </c>
      <c r="H83" s="95" t="s">
        <v>185</v>
      </c>
      <c r="I83" s="95">
        <v>10</v>
      </c>
      <c r="J83" s="95">
        <v>552</v>
      </c>
      <c r="K83" s="95">
        <v>55.2</v>
      </c>
      <c r="L83" s="95">
        <v>44.399999999999835</v>
      </c>
    </row>
    <row r="84" spans="1:21" x14ac:dyDescent="0.25">
      <c r="A84" s="93" t="s">
        <v>188</v>
      </c>
      <c r="B84" s="93" t="s">
        <v>186</v>
      </c>
      <c r="C84" s="93">
        <v>1</v>
      </c>
      <c r="D84" s="92">
        <v>55</v>
      </c>
      <c r="E84" s="94">
        <v>1</v>
      </c>
    </row>
    <row r="85" spans="1:21" x14ac:dyDescent="0.25">
      <c r="A85" s="93" t="s">
        <v>188</v>
      </c>
      <c r="B85" s="93" t="s">
        <v>186</v>
      </c>
      <c r="C85" s="93">
        <v>2</v>
      </c>
      <c r="D85" s="92">
        <v>57</v>
      </c>
      <c r="E85" s="94">
        <v>1</v>
      </c>
    </row>
    <row r="86" spans="1:21" ht="15.75" thickBot="1" x14ac:dyDescent="0.3">
      <c r="A86" s="93" t="s">
        <v>188</v>
      </c>
      <c r="B86" s="93" t="s">
        <v>187</v>
      </c>
      <c r="C86" s="93">
        <v>1</v>
      </c>
      <c r="D86" s="92">
        <v>65</v>
      </c>
      <c r="E86" s="94">
        <v>2</v>
      </c>
      <c r="H86" t="s">
        <v>197</v>
      </c>
    </row>
    <row r="87" spans="1:21" x14ac:dyDescent="0.25">
      <c r="A87" s="93" t="s">
        <v>188</v>
      </c>
      <c r="B87" s="93" t="s">
        <v>187</v>
      </c>
      <c r="C87" s="93">
        <v>2</v>
      </c>
      <c r="D87" s="92">
        <v>63</v>
      </c>
      <c r="E87" s="94">
        <v>3</v>
      </c>
      <c r="G87" s="4"/>
      <c r="H87" s="102" t="s">
        <v>198</v>
      </c>
      <c r="I87" s="102" t="s">
        <v>199</v>
      </c>
      <c r="J87" s="102" t="s">
        <v>200</v>
      </c>
      <c r="K87" s="102" t="s">
        <v>201</v>
      </c>
      <c r="L87" s="102" t="s">
        <v>8</v>
      </c>
      <c r="M87" s="102" t="s">
        <v>202</v>
      </c>
      <c r="N87" s="102" t="s">
        <v>203</v>
      </c>
    </row>
    <row r="88" spans="1:21" ht="20.25" thickBot="1" x14ac:dyDescent="0.35">
      <c r="A88" s="100"/>
      <c r="B88" s="100" t="s">
        <v>83</v>
      </c>
      <c r="H88" t="s">
        <v>234</v>
      </c>
      <c r="I88">
        <v>14418.449999999999</v>
      </c>
      <c r="J88">
        <v>1</v>
      </c>
      <c r="K88">
        <v>14418.449999999999</v>
      </c>
      <c r="L88">
        <v>645.44168117383731</v>
      </c>
      <c r="M88">
        <v>1.4957946230548644E-15</v>
      </c>
      <c r="N88">
        <v>4.4138734191705664</v>
      </c>
    </row>
    <row r="89" spans="1:21" ht="15.75" thickTop="1" x14ac:dyDescent="0.25">
      <c r="A89" s="103"/>
      <c r="B89" s="103" t="s">
        <v>184</v>
      </c>
      <c r="C89" s="103" t="s">
        <v>185</v>
      </c>
      <c r="H89" t="s">
        <v>235</v>
      </c>
      <c r="I89">
        <v>402.09999999999997</v>
      </c>
      <c r="J89">
        <v>18</v>
      </c>
      <c r="K89">
        <v>22.338888888888889</v>
      </c>
      <c r="P89" t="s">
        <v>238</v>
      </c>
      <c r="S89" t="s">
        <v>246</v>
      </c>
    </row>
    <row r="90" spans="1:21" x14ac:dyDescent="0.25">
      <c r="A90" t="s">
        <v>184</v>
      </c>
      <c r="B90">
        <v>1</v>
      </c>
      <c r="P90" t="s">
        <v>239</v>
      </c>
      <c r="Q90" t="s">
        <v>242</v>
      </c>
      <c r="S90" t="s">
        <v>247</v>
      </c>
      <c r="T90" t="s">
        <v>248</v>
      </c>
      <c r="U90" t="s">
        <v>249</v>
      </c>
    </row>
    <row r="91" spans="1:21" ht="15.75" thickBot="1" x14ac:dyDescent="0.3">
      <c r="A91" s="95" t="s">
        <v>185</v>
      </c>
      <c r="B91" s="95">
        <v>3.163859985841664E-2</v>
      </c>
      <c r="C91" s="95">
        <v>1</v>
      </c>
      <c r="H91" s="95" t="s">
        <v>192</v>
      </c>
      <c r="I91" s="95">
        <v>14820.55</v>
      </c>
      <c r="J91" s="95">
        <v>19</v>
      </c>
      <c r="K91" s="95"/>
      <c r="L91" s="95"/>
      <c r="M91" s="95"/>
      <c r="N91" s="95"/>
      <c r="P91" t="s">
        <v>239</v>
      </c>
      <c r="Q91" t="s">
        <v>243</v>
      </c>
      <c r="S91" t="s">
        <v>250</v>
      </c>
      <c r="T91">
        <v>45</v>
      </c>
      <c r="U91">
        <v>98</v>
      </c>
    </row>
    <row r="92" spans="1:21" x14ac:dyDescent="0.25">
      <c r="P92" t="s">
        <v>239</v>
      </c>
      <c r="Q92" t="s">
        <v>244</v>
      </c>
      <c r="S92" t="s">
        <v>251</v>
      </c>
      <c r="T92">
        <v>65</v>
      </c>
      <c r="U92">
        <v>65</v>
      </c>
    </row>
    <row r="93" spans="1:21" x14ac:dyDescent="0.25">
      <c r="P93" t="s">
        <v>240</v>
      </c>
      <c r="Q93" t="s">
        <v>245</v>
      </c>
      <c r="S93" t="s">
        <v>252</v>
      </c>
      <c r="T93">
        <v>22</v>
      </c>
      <c r="U93">
        <v>46</v>
      </c>
    </row>
    <row r="94" spans="1:21" ht="20.25" thickBot="1" x14ac:dyDescent="0.35">
      <c r="A94" s="100" t="s">
        <v>190</v>
      </c>
      <c r="B94" s="100"/>
      <c r="C94" s="100"/>
      <c r="I94" s="100" t="s">
        <v>208</v>
      </c>
      <c r="J94" s="100"/>
      <c r="K94" s="100"/>
      <c r="P94" t="s">
        <v>240</v>
      </c>
      <c r="S94" t="s">
        <v>253</v>
      </c>
      <c r="T94">
        <v>87</v>
      </c>
      <c r="U94">
        <v>45</v>
      </c>
    </row>
    <row r="95" spans="1:21" ht="16.5" thickTop="1" thickBot="1" x14ac:dyDescent="0.3">
      <c r="P95" t="s">
        <v>240</v>
      </c>
    </row>
    <row r="96" spans="1:21" x14ac:dyDescent="0.25">
      <c r="A96" t="s">
        <v>191</v>
      </c>
      <c r="B96" t="s">
        <v>185</v>
      </c>
      <c r="C96" t="s">
        <v>189</v>
      </c>
      <c r="D96" t="s">
        <v>192</v>
      </c>
      <c r="I96" s="101" t="s">
        <v>191</v>
      </c>
      <c r="J96" s="101" t="s">
        <v>193</v>
      </c>
      <c r="K96" s="101" t="s">
        <v>194</v>
      </c>
      <c r="L96" s="101" t="s">
        <v>195</v>
      </c>
      <c r="M96" s="101" t="s">
        <v>196</v>
      </c>
      <c r="P96" s="108" t="s">
        <v>241</v>
      </c>
    </row>
    <row r="97" spans="1:16" ht="15.75" thickBot="1" x14ac:dyDescent="0.3">
      <c r="A97" s="97">
        <v>1</v>
      </c>
      <c r="B97" s="97"/>
      <c r="C97" s="97"/>
      <c r="D97" s="97"/>
      <c r="I97">
        <v>1</v>
      </c>
      <c r="J97">
        <v>1</v>
      </c>
      <c r="K97">
        <v>45</v>
      </c>
      <c r="L97">
        <v>45</v>
      </c>
      <c r="M97" t="e">
        <v>#DIV/0!</v>
      </c>
      <c r="P97" t="s">
        <v>241</v>
      </c>
    </row>
    <row r="98" spans="1:16" x14ac:dyDescent="0.25">
      <c r="A98" t="s">
        <v>193</v>
      </c>
      <c r="B98">
        <v>10</v>
      </c>
      <c r="C98">
        <v>10</v>
      </c>
      <c r="D98">
        <v>20</v>
      </c>
      <c r="I98">
        <v>2</v>
      </c>
      <c r="J98">
        <v>1</v>
      </c>
      <c r="K98">
        <v>47</v>
      </c>
      <c r="L98">
        <v>47</v>
      </c>
      <c r="M98" t="e">
        <v>#DIV/0!</v>
      </c>
      <c r="P98" t="s">
        <v>241</v>
      </c>
    </row>
    <row r="99" spans="1:16" x14ac:dyDescent="0.25">
      <c r="A99" t="s">
        <v>194</v>
      </c>
      <c r="B99">
        <v>552</v>
      </c>
      <c r="C99">
        <v>123</v>
      </c>
      <c r="D99">
        <v>675</v>
      </c>
      <c r="I99">
        <v>1</v>
      </c>
      <c r="J99">
        <v>1</v>
      </c>
      <c r="K99">
        <v>52</v>
      </c>
      <c r="L99">
        <v>52</v>
      </c>
      <c r="M99" t="e">
        <v>#DIV/0!</v>
      </c>
    </row>
    <row r="100" spans="1:16" x14ac:dyDescent="0.25">
      <c r="A100" t="s">
        <v>195</v>
      </c>
      <c r="B100">
        <v>55.2</v>
      </c>
      <c r="C100">
        <v>12.3</v>
      </c>
      <c r="D100">
        <v>33.75</v>
      </c>
      <c r="I100">
        <v>2</v>
      </c>
      <c r="J100">
        <v>1</v>
      </c>
      <c r="K100">
        <v>50</v>
      </c>
      <c r="L100">
        <v>50</v>
      </c>
      <c r="M100" t="e">
        <v>#DIV/0!</v>
      </c>
    </row>
    <row r="101" spans="1:16" x14ac:dyDescent="0.25">
      <c r="A101" t="s">
        <v>196</v>
      </c>
      <c r="B101">
        <v>44.399999999999835</v>
      </c>
      <c r="C101">
        <v>455.56666666666672</v>
      </c>
      <c r="D101">
        <v>721.14473684210532</v>
      </c>
      <c r="I101">
        <v>1</v>
      </c>
      <c r="J101">
        <v>1</v>
      </c>
      <c r="K101">
        <v>58</v>
      </c>
      <c r="L101">
        <v>58</v>
      </c>
      <c r="M101" t="e">
        <v>#DIV/0!</v>
      </c>
    </row>
    <row r="102" spans="1:16" x14ac:dyDescent="0.25">
      <c r="I102">
        <v>2</v>
      </c>
      <c r="J102">
        <v>1</v>
      </c>
      <c r="K102">
        <v>60</v>
      </c>
      <c r="L102">
        <v>60</v>
      </c>
      <c r="M102" t="e">
        <v>#DIV/0!</v>
      </c>
    </row>
    <row r="103" spans="1:16" ht="15.75" thickBot="1" x14ac:dyDescent="0.3">
      <c r="A103" s="97" t="s">
        <v>192</v>
      </c>
      <c r="B103" s="97"/>
      <c r="C103" s="97"/>
      <c r="I103">
        <v>1</v>
      </c>
      <c r="J103">
        <v>1</v>
      </c>
      <c r="K103">
        <v>55</v>
      </c>
      <c r="L103">
        <v>55</v>
      </c>
      <c r="M103" t="e">
        <v>#DIV/0!</v>
      </c>
    </row>
    <row r="104" spans="1:16" x14ac:dyDescent="0.25">
      <c r="A104" t="s">
        <v>193</v>
      </c>
      <c r="B104">
        <v>10</v>
      </c>
      <c r="C104">
        <v>10</v>
      </c>
      <c r="I104">
        <v>2</v>
      </c>
      <c r="J104">
        <v>1</v>
      </c>
      <c r="K104">
        <v>57</v>
      </c>
      <c r="L104">
        <v>57</v>
      </c>
      <c r="M104" t="e">
        <v>#DIV/0!</v>
      </c>
    </row>
    <row r="105" spans="1:16" x14ac:dyDescent="0.25">
      <c r="A105" t="s">
        <v>194</v>
      </c>
      <c r="B105">
        <v>552</v>
      </c>
      <c r="C105">
        <v>123</v>
      </c>
      <c r="I105">
        <v>1</v>
      </c>
      <c r="J105">
        <v>1</v>
      </c>
      <c r="K105">
        <v>65</v>
      </c>
      <c r="L105">
        <v>65</v>
      </c>
      <c r="M105" t="e">
        <v>#DIV/0!</v>
      </c>
    </row>
    <row r="106" spans="1:16" x14ac:dyDescent="0.25">
      <c r="A106" t="s">
        <v>195</v>
      </c>
      <c r="B106">
        <v>55.2</v>
      </c>
      <c r="C106">
        <v>12.3</v>
      </c>
      <c r="I106">
        <v>2</v>
      </c>
      <c r="J106">
        <v>1</v>
      </c>
      <c r="K106">
        <v>63</v>
      </c>
      <c r="L106">
        <v>63</v>
      </c>
      <c r="M106" t="e">
        <v>#DIV/0!</v>
      </c>
    </row>
    <row r="107" spans="1:16" x14ac:dyDescent="0.25">
      <c r="A107" t="s">
        <v>196</v>
      </c>
      <c r="B107">
        <v>44.399999999999835</v>
      </c>
      <c r="C107">
        <v>455.56666666666672</v>
      </c>
    </row>
    <row r="108" spans="1:16" ht="15.75" thickBot="1" x14ac:dyDescent="0.3">
      <c r="I108" s="95" t="s">
        <v>185</v>
      </c>
      <c r="J108" s="95">
        <v>10</v>
      </c>
      <c r="K108" s="95">
        <v>552</v>
      </c>
      <c r="L108" s="95">
        <v>55.2</v>
      </c>
      <c r="M108" s="95">
        <v>44.399999999999835</v>
      </c>
    </row>
    <row r="110" spans="1:16" ht="15.75" thickBot="1" x14ac:dyDescent="0.3">
      <c r="A110" t="s">
        <v>197</v>
      </c>
    </row>
    <row r="111" spans="1:16" ht="15.75" thickBot="1" x14ac:dyDescent="0.3">
      <c r="A111" s="104" t="s">
        <v>198</v>
      </c>
      <c r="B111" s="104" t="s">
        <v>199</v>
      </c>
      <c r="C111" s="104" t="s">
        <v>200</v>
      </c>
      <c r="D111" s="104" t="s">
        <v>201</v>
      </c>
      <c r="E111" s="104" t="s">
        <v>8</v>
      </c>
      <c r="F111" s="104" t="s">
        <v>202</v>
      </c>
      <c r="G111" s="104" t="s">
        <v>203</v>
      </c>
      <c r="I111" t="s">
        <v>197</v>
      </c>
    </row>
    <row r="112" spans="1:16" x14ac:dyDescent="0.25">
      <c r="A112" t="s">
        <v>204</v>
      </c>
      <c r="B112">
        <v>0</v>
      </c>
      <c r="C112">
        <v>0</v>
      </c>
      <c r="D112">
        <v>65535</v>
      </c>
      <c r="E112">
        <v>65535</v>
      </c>
      <c r="F112" t="e">
        <v>#NUM!</v>
      </c>
      <c r="G112" t="e">
        <v>#NUM!</v>
      </c>
      <c r="H112" s="14"/>
      <c r="I112" s="105" t="s">
        <v>198</v>
      </c>
      <c r="J112" s="105" t="s">
        <v>199</v>
      </c>
      <c r="K112" s="105" t="s">
        <v>200</v>
      </c>
      <c r="L112" s="105" t="s">
        <v>201</v>
      </c>
      <c r="M112" s="105" t="s">
        <v>8</v>
      </c>
      <c r="N112" s="105" t="s">
        <v>202</v>
      </c>
      <c r="O112" s="105" t="s">
        <v>203</v>
      </c>
    </row>
    <row r="113" spans="1:15" x14ac:dyDescent="0.25">
      <c r="A113" t="s">
        <v>205</v>
      </c>
      <c r="B113">
        <v>9202.0499999999993</v>
      </c>
      <c r="C113">
        <v>1</v>
      </c>
      <c r="D113">
        <v>9202.0499999999993</v>
      </c>
      <c r="E113">
        <v>36.810654043602895</v>
      </c>
      <c r="F113">
        <v>9.824218060329172E-6</v>
      </c>
      <c r="G113">
        <v>4.4138734191705664</v>
      </c>
      <c r="I113" t="s">
        <v>209</v>
      </c>
      <c r="J113">
        <v>399.59999999999997</v>
      </c>
      <c r="K113">
        <v>9</v>
      </c>
      <c r="L113">
        <v>44.4</v>
      </c>
      <c r="M113">
        <v>65535</v>
      </c>
      <c r="N113" t="e">
        <v>#NUM!</v>
      </c>
      <c r="O113" t="e">
        <v>#NUM!</v>
      </c>
    </row>
    <row r="114" spans="1:15" x14ac:dyDescent="0.25">
      <c r="A114" t="s">
        <v>206</v>
      </c>
      <c r="B114">
        <v>0</v>
      </c>
      <c r="C114">
        <v>0</v>
      </c>
      <c r="D114">
        <v>65535</v>
      </c>
      <c r="E114">
        <v>65535</v>
      </c>
      <c r="F114" t="e">
        <v>#NUM!</v>
      </c>
      <c r="G114" t="e">
        <v>#NUM!</v>
      </c>
      <c r="I114" t="s">
        <v>205</v>
      </c>
      <c r="J114">
        <v>0</v>
      </c>
      <c r="K114">
        <v>0</v>
      </c>
      <c r="L114">
        <v>65535</v>
      </c>
      <c r="M114">
        <v>65535</v>
      </c>
      <c r="N114" t="e">
        <v>#NUM!</v>
      </c>
      <c r="O114" t="e">
        <v>#NUM!</v>
      </c>
    </row>
    <row r="115" spans="1:15" x14ac:dyDescent="0.25">
      <c r="A115" t="s">
        <v>207</v>
      </c>
      <c r="B115">
        <v>4499.7000000000007</v>
      </c>
      <c r="C115">
        <v>18</v>
      </c>
      <c r="D115">
        <v>249.98333333333338</v>
      </c>
      <c r="I115" t="s">
        <v>210</v>
      </c>
      <c r="J115">
        <v>0</v>
      </c>
      <c r="K115">
        <v>0</v>
      </c>
      <c r="L115">
        <v>65535</v>
      </c>
    </row>
    <row r="117" spans="1:15" ht="15.75" thickBot="1" x14ac:dyDescent="0.3">
      <c r="A117" s="95" t="s">
        <v>192</v>
      </c>
      <c r="B117" s="95">
        <v>13701.75</v>
      </c>
      <c r="C117" s="95">
        <v>19</v>
      </c>
      <c r="D117" s="95"/>
      <c r="E117" s="95"/>
      <c r="F117" s="95"/>
      <c r="G117" s="95"/>
      <c r="I117" s="95" t="s">
        <v>192</v>
      </c>
      <c r="J117" s="95">
        <v>399.59999999999997</v>
      </c>
      <c r="K117" s="95">
        <v>9</v>
      </c>
      <c r="L117" s="95"/>
      <c r="M117" s="95"/>
      <c r="N117" s="95"/>
      <c r="O117" s="95"/>
    </row>
    <row r="119" spans="1:15" ht="20.25" thickBot="1" x14ac:dyDescent="0.35">
      <c r="B119" s="100" t="s">
        <v>236</v>
      </c>
      <c r="C119" s="100"/>
    </row>
    <row r="120" spans="1:15" ht="16.5" thickTop="1" thickBot="1" x14ac:dyDescent="0.3"/>
    <row r="121" spans="1:15" ht="20.25" thickBot="1" x14ac:dyDescent="0.35">
      <c r="A121" s="96" t="s">
        <v>184</v>
      </c>
      <c r="B121" s="96"/>
      <c r="C121" s="96" t="s">
        <v>185</v>
      </c>
      <c r="D121" s="96"/>
      <c r="I121" s="100" t="s">
        <v>222</v>
      </c>
      <c r="J121" s="100"/>
      <c r="K121" s="100"/>
    </row>
    <row r="122" spans="1:15" ht="16.5" thickTop="1" thickBot="1" x14ac:dyDescent="0.3"/>
    <row r="123" spans="1:15" x14ac:dyDescent="0.25">
      <c r="A123" t="s">
        <v>211</v>
      </c>
      <c r="B123">
        <v>1.5</v>
      </c>
      <c r="C123" t="s">
        <v>211</v>
      </c>
      <c r="D123">
        <v>55.2</v>
      </c>
      <c r="I123" s="96"/>
      <c r="J123" s="96" t="s">
        <v>184</v>
      </c>
      <c r="K123" s="96" t="s">
        <v>185</v>
      </c>
    </row>
    <row r="124" spans="1:15" x14ac:dyDescent="0.25">
      <c r="A124" t="s">
        <v>212</v>
      </c>
      <c r="B124">
        <v>0.16666666666666666</v>
      </c>
      <c r="C124" t="s">
        <v>212</v>
      </c>
      <c r="D124">
        <v>2.1071307505705437</v>
      </c>
      <c r="I124" t="s">
        <v>211</v>
      </c>
      <c r="J124">
        <v>1.5</v>
      </c>
      <c r="K124">
        <v>55.2</v>
      </c>
    </row>
    <row r="125" spans="1:15" x14ac:dyDescent="0.25">
      <c r="A125" t="s">
        <v>213</v>
      </c>
      <c r="B125">
        <v>1.5</v>
      </c>
      <c r="C125" t="s">
        <v>213</v>
      </c>
      <c r="D125">
        <v>56</v>
      </c>
      <c r="I125" t="s">
        <v>196</v>
      </c>
      <c r="J125">
        <v>0.27777777777777779</v>
      </c>
      <c r="K125">
        <v>44.399999999999835</v>
      </c>
    </row>
    <row r="126" spans="1:15" x14ac:dyDescent="0.25">
      <c r="A126" t="s">
        <v>214</v>
      </c>
      <c r="B126">
        <v>1</v>
      </c>
      <c r="C126" t="s">
        <v>214</v>
      </c>
      <c r="D126" t="e">
        <v>#N/A</v>
      </c>
      <c r="I126" t="s">
        <v>223</v>
      </c>
      <c r="J126">
        <v>10</v>
      </c>
      <c r="K126">
        <v>10</v>
      </c>
    </row>
    <row r="127" spans="1:15" x14ac:dyDescent="0.25">
      <c r="A127" t="s">
        <v>215</v>
      </c>
      <c r="B127">
        <v>0.52704627669472992</v>
      </c>
      <c r="C127" t="s">
        <v>215</v>
      </c>
      <c r="D127">
        <v>6.6633324995830607</v>
      </c>
      <c r="I127" t="s">
        <v>224</v>
      </c>
      <c r="J127">
        <v>3.163859985841664E-2</v>
      </c>
    </row>
    <row r="128" spans="1:15" x14ac:dyDescent="0.25">
      <c r="A128" t="s">
        <v>216</v>
      </c>
      <c r="B128">
        <v>0.27777777777777779</v>
      </c>
      <c r="C128" t="s">
        <v>216</v>
      </c>
      <c r="D128">
        <v>44.399999999999835</v>
      </c>
      <c r="I128" t="s">
        <v>225</v>
      </c>
      <c r="J128">
        <v>0</v>
      </c>
    </row>
    <row r="129" spans="1:14" x14ac:dyDescent="0.25">
      <c r="A129" t="s">
        <v>217</v>
      </c>
      <c r="B129">
        <v>-2.5714285714285721</v>
      </c>
      <c r="C129" t="s">
        <v>217</v>
      </c>
      <c r="D129">
        <v>-1.0500703406108798</v>
      </c>
      <c r="I129" t="s">
        <v>200</v>
      </c>
      <c r="J129">
        <v>9</v>
      </c>
    </row>
    <row r="130" spans="1:14" x14ac:dyDescent="0.25">
      <c r="A130" t="s">
        <v>218</v>
      </c>
      <c r="B130">
        <v>0</v>
      </c>
      <c r="C130" t="s">
        <v>218</v>
      </c>
      <c r="D130">
        <v>-0.1088382165036207</v>
      </c>
      <c r="I130" t="s">
        <v>226</v>
      </c>
      <c r="J130">
        <v>-25.468963131216348</v>
      </c>
    </row>
    <row r="131" spans="1:14" x14ac:dyDescent="0.25">
      <c r="A131" t="s">
        <v>219</v>
      </c>
      <c r="B131">
        <v>1</v>
      </c>
      <c r="C131" t="s">
        <v>219</v>
      </c>
      <c r="D131">
        <v>20</v>
      </c>
      <c r="I131" t="s">
        <v>227</v>
      </c>
      <c r="J131">
        <v>5.3364952001418588E-10</v>
      </c>
    </row>
    <row r="132" spans="1:14" x14ac:dyDescent="0.25">
      <c r="A132" t="s">
        <v>220</v>
      </c>
      <c r="B132">
        <v>1</v>
      </c>
      <c r="C132" t="s">
        <v>220</v>
      </c>
      <c r="D132">
        <v>45</v>
      </c>
      <c r="I132" t="s">
        <v>228</v>
      </c>
      <c r="J132">
        <v>1.8331129326562374</v>
      </c>
    </row>
    <row r="133" spans="1:14" x14ac:dyDescent="0.25">
      <c r="A133" t="s">
        <v>221</v>
      </c>
      <c r="B133">
        <v>2</v>
      </c>
      <c r="C133" t="s">
        <v>221</v>
      </c>
      <c r="D133">
        <v>65</v>
      </c>
      <c r="I133" t="s">
        <v>229</v>
      </c>
      <c r="J133">
        <v>1.0672990400283718E-9</v>
      </c>
    </row>
    <row r="134" spans="1:14" ht="15.75" thickBot="1" x14ac:dyDescent="0.3">
      <c r="A134" t="s">
        <v>194</v>
      </c>
      <c r="B134">
        <v>15</v>
      </c>
      <c r="C134" t="s">
        <v>194</v>
      </c>
      <c r="D134">
        <v>552</v>
      </c>
      <c r="I134" s="95" t="s">
        <v>230</v>
      </c>
      <c r="J134" s="95">
        <v>2.2621571627982053</v>
      </c>
      <c r="K134" s="95"/>
    </row>
    <row r="135" spans="1:14" ht="15.75" thickBot="1" x14ac:dyDescent="0.3">
      <c r="A135" s="95" t="s">
        <v>193</v>
      </c>
      <c r="B135" s="95">
        <v>10</v>
      </c>
      <c r="C135" s="95" t="s">
        <v>193</v>
      </c>
      <c r="D135" s="95">
        <v>10</v>
      </c>
    </row>
    <row r="139" spans="1:14" ht="20.25" thickBot="1" x14ac:dyDescent="0.35">
      <c r="G139" s="113" t="s">
        <v>254</v>
      </c>
      <c r="H139" s="113"/>
      <c r="I139" s="113"/>
      <c r="M139" s="114" t="s">
        <v>283</v>
      </c>
      <c r="N139" s="114"/>
    </row>
    <row r="140" spans="1:14" ht="15.75" thickTop="1" x14ac:dyDescent="0.25"/>
    <row r="141" spans="1:14" ht="30" x14ac:dyDescent="0.25">
      <c r="A141" s="115" t="s">
        <v>261</v>
      </c>
      <c r="B141" s="115" t="s">
        <v>98</v>
      </c>
      <c r="C141" s="115" t="s">
        <v>97</v>
      </c>
      <c r="D141" s="115" t="s">
        <v>262</v>
      </c>
      <c r="E141" s="115" t="s">
        <v>263</v>
      </c>
      <c r="F141" s="115" t="s">
        <v>264</v>
      </c>
      <c r="G141" s="115" t="s">
        <v>280</v>
      </c>
      <c r="K141" s="109" t="s">
        <v>97</v>
      </c>
      <c r="L141" t="s">
        <v>114</v>
      </c>
    </row>
    <row r="142" spans="1:14" x14ac:dyDescent="0.25">
      <c r="A142" s="93" t="s">
        <v>255</v>
      </c>
      <c r="B142" s="93">
        <v>25</v>
      </c>
      <c r="C142" s="93" t="s">
        <v>114</v>
      </c>
      <c r="D142" s="93" t="s">
        <v>265</v>
      </c>
      <c r="E142" s="93">
        <v>25000</v>
      </c>
      <c r="F142" s="93">
        <v>265347</v>
      </c>
      <c r="G142" t="str">
        <f>IF(B142&gt;=30,"MAJOR","MINOR")</f>
        <v>MINOR</v>
      </c>
    </row>
    <row r="143" spans="1:14" ht="30" x14ac:dyDescent="0.25">
      <c r="A143" s="93" t="s">
        <v>256</v>
      </c>
      <c r="B143" s="93">
        <v>28</v>
      </c>
      <c r="C143" s="93" t="s">
        <v>107</v>
      </c>
      <c r="D143" s="93" t="s">
        <v>266</v>
      </c>
      <c r="E143" s="93">
        <v>30000</v>
      </c>
      <c r="F143" s="93">
        <v>8745326</v>
      </c>
      <c r="G143" t="str">
        <f t="shared" ref="G143:G151" si="16">IF(B143&gt;=30,"MAJOR","MINOR")</f>
        <v>MINOR</v>
      </c>
      <c r="K143" s="109" t="s">
        <v>259</v>
      </c>
      <c r="L143" t="s">
        <v>276</v>
      </c>
      <c r="M143" t="s">
        <v>277</v>
      </c>
    </row>
    <row r="144" spans="1:14" ht="30" x14ac:dyDescent="0.25">
      <c r="A144" s="93" t="s">
        <v>257</v>
      </c>
      <c r="B144" s="93">
        <v>32</v>
      </c>
      <c r="C144" s="93" t="s">
        <v>114</v>
      </c>
      <c r="D144" s="93" t="s">
        <v>267</v>
      </c>
      <c r="E144" s="93">
        <v>45000</v>
      </c>
      <c r="F144" s="93">
        <v>742528</v>
      </c>
      <c r="G144" t="str">
        <f t="shared" si="16"/>
        <v>MAJOR</v>
      </c>
      <c r="K144" s="110" t="s">
        <v>257</v>
      </c>
      <c r="L144" s="111">
        <v>45000</v>
      </c>
      <c r="M144" s="111">
        <v>742528</v>
      </c>
    </row>
    <row r="145" spans="1:22" ht="30" x14ac:dyDescent="0.25">
      <c r="A145" s="93" t="s">
        <v>258</v>
      </c>
      <c r="B145" s="93">
        <v>27</v>
      </c>
      <c r="C145" s="93" t="s">
        <v>107</v>
      </c>
      <c r="D145" s="93" t="s">
        <v>268</v>
      </c>
      <c r="E145" s="93">
        <v>35000</v>
      </c>
      <c r="F145" s="93">
        <v>98373</v>
      </c>
      <c r="G145" t="str">
        <f t="shared" si="16"/>
        <v>MINOR</v>
      </c>
      <c r="I145" t="s">
        <v>278</v>
      </c>
      <c r="J145" t="s">
        <v>279</v>
      </c>
      <c r="K145" s="110" t="s">
        <v>269</v>
      </c>
      <c r="L145" s="111">
        <v>40000</v>
      </c>
      <c r="M145" s="111">
        <v>824786</v>
      </c>
    </row>
    <row r="146" spans="1:22" x14ac:dyDescent="0.25">
      <c r="A146" s="93" t="s">
        <v>269</v>
      </c>
      <c r="B146" s="93">
        <v>30</v>
      </c>
      <c r="C146" s="93" t="s">
        <v>114</v>
      </c>
      <c r="D146" s="93" t="s">
        <v>265</v>
      </c>
      <c r="E146" s="93">
        <v>40000</v>
      </c>
      <c r="F146" s="93">
        <v>824786</v>
      </c>
      <c r="G146" t="str">
        <f t="shared" si="16"/>
        <v>MAJOR</v>
      </c>
      <c r="I146">
        <v>31816970</v>
      </c>
      <c r="J146">
        <v>730000</v>
      </c>
      <c r="K146" s="110" t="s">
        <v>255</v>
      </c>
      <c r="L146" s="111">
        <v>25000</v>
      </c>
      <c r="M146" s="111">
        <v>265347</v>
      </c>
    </row>
    <row r="147" spans="1:22" x14ac:dyDescent="0.25">
      <c r="A147" s="93" t="s">
        <v>270</v>
      </c>
      <c r="B147" s="93">
        <v>24</v>
      </c>
      <c r="C147" s="93" t="s">
        <v>107</v>
      </c>
      <c r="D147" s="93" t="s">
        <v>271</v>
      </c>
      <c r="E147" s="93">
        <v>28000</v>
      </c>
      <c r="F147" s="93">
        <v>467342</v>
      </c>
      <c r="G147" t="str">
        <f t="shared" si="16"/>
        <v>MINOR</v>
      </c>
      <c r="K147" s="110" t="s">
        <v>272</v>
      </c>
      <c r="L147" s="111">
        <v>50000</v>
      </c>
      <c r="M147" s="111">
        <v>3728532</v>
      </c>
    </row>
    <row r="148" spans="1:22" ht="30" x14ac:dyDescent="0.25">
      <c r="A148" s="93" t="s">
        <v>272</v>
      </c>
      <c r="B148" s="93">
        <v>35</v>
      </c>
      <c r="C148" s="93" t="s">
        <v>114</v>
      </c>
      <c r="D148" s="93" t="s">
        <v>267</v>
      </c>
      <c r="E148" s="93">
        <v>50000</v>
      </c>
      <c r="F148" s="93">
        <v>3728532</v>
      </c>
      <c r="G148" t="str">
        <f t="shared" si="16"/>
        <v>MAJOR</v>
      </c>
      <c r="K148" s="110" t="s">
        <v>274</v>
      </c>
      <c r="L148" s="111">
        <v>42000</v>
      </c>
      <c r="M148" s="111">
        <v>236272</v>
      </c>
    </row>
    <row r="149" spans="1:22" ht="30" x14ac:dyDescent="0.25">
      <c r="A149" s="93" t="s">
        <v>273</v>
      </c>
      <c r="B149" s="93">
        <v>29</v>
      </c>
      <c r="C149" s="93" t="s">
        <v>107</v>
      </c>
      <c r="D149" s="93" t="s">
        <v>266</v>
      </c>
      <c r="E149" s="93">
        <v>38000</v>
      </c>
      <c r="F149" s="93">
        <v>326732</v>
      </c>
      <c r="G149" t="str">
        <f t="shared" si="16"/>
        <v>MINOR</v>
      </c>
      <c r="K149" s="110" t="s">
        <v>260</v>
      </c>
      <c r="L149" s="111">
        <v>202000</v>
      </c>
      <c r="M149" s="111">
        <v>5797465</v>
      </c>
    </row>
    <row r="150" spans="1:22" ht="30" x14ac:dyDescent="0.25">
      <c r="A150" s="93" t="s">
        <v>274</v>
      </c>
      <c r="B150" s="93">
        <v>31</v>
      </c>
      <c r="C150" s="93" t="s">
        <v>114</v>
      </c>
      <c r="D150" s="93" t="s">
        <v>268</v>
      </c>
      <c r="E150" s="93">
        <v>42000</v>
      </c>
      <c r="F150" s="93">
        <v>236272</v>
      </c>
      <c r="G150" t="str">
        <f t="shared" si="16"/>
        <v>MAJOR</v>
      </c>
    </row>
    <row r="151" spans="1:22" x14ac:dyDescent="0.25">
      <c r="A151" s="93" t="s">
        <v>275</v>
      </c>
      <c r="B151" s="93">
        <v>26</v>
      </c>
      <c r="C151" s="93" t="s">
        <v>107</v>
      </c>
      <c r="D151" s="93" t="s">
        <v>271</v>
      </c>
      <c r="E151" s="93">
        <v>32000</v>
      </c>
      <c r="F151" s="93">
        <v>473247</v>
      </c>
      <c r="G151" t="str">
        <f t="shared" si="16"/>
        <v>MINOR</v>
      </c>
    </row>
    <row r="156" spans="1:22" ht="18" thickBot="1" x14ac:dyDescent="0.35">
      <c r="J156" s="112"/>
      <c r="N156" s="112"/>
      <c r="V156" t="s">
        <v>284</v>
      </c>
    </row>
    <row r="157" spans="1:22" ht="15.75" thickTop="1" x14ac:dyDescent="0.25"/>
    <row r="158" spans="1:22" x14ac:dyDescent="0.25">
      <c r="M158" s="109" t="s">
        <v>261</v>
      </c>
      <c r="N158" t="s">
        <v>281</v>
      </c>
      <c r="S158" s="109" t="s">
        <v>97</v>
      </c>
      <c r="T158" t="s">
        <v>114</v>
      </c>
    </row>
    <row r="160" spans="1:22" x14ac:dyDescent="0.25">
      <c r="M160" s="109" t="s">
        <v>259</v>
      </c>
      <c r="N160" t="s">
        <v>276</v>
      </c>
      <c r="O160" t="s">
        <v>277</v>
      </c>
      <c r="P160" t="s">
        <v>282</v>
      </c>
      <c r="S160" s="109" t="s">
        <v>259</v>
      </c>
      <c r="T160" t="s">
        <v>276</v>
      </c>
      <c r="U160" t="s">
        <v>277</v>
      </c>
    </row>
    <row r="161" spans="13:21" x14ac:dyDescent="0.25">
      <c r="M161" s="110" t="s">
        <v>107</v>
      </c>
      <c r="N161" s="111">
        <v>60000</v>
      </c>
      <c r="O161" s="111">
        <v>940589</v>
      </c>
      <c r="P161" s="111">
        <v>50</v>
      </c>
      <c r="S161" s="110" t="s">
        <v>59</v>
      </c>
      <c r="T161" s="111">
        <v>25000</v>
      </c>
      <c r="U161" s="111">
        <v>265347</v>
      </c>
    </row>
    <row r="162" spans="13:21" x14ac:dyDescent="0.25">
      <c r="M162" s="110" t="s">
        <v>260</v>
      </c>
      <c r="N162" s="111">
        <v>60000</v>
      </c>
      <c r="O162" s="111">
        <v>940589</v>
      </c>
      <c r="P162" s="111">
        <v>50</v>
      </c>
      <c r="S162" s="110" t="s">
        <v>260</v>
      </c>
      <c r="T162" s="111">
        <v>25000</v>
      </c>
      <c r="U162" s="111">
        <v>265347</v>
      </c>
    </row>
    <row r="167" spans="13:21" x14ac:dyDescent="0.25">
      <c r="N167" s="13" t="s">
        <v>285</v>
      </c>
      <c r="O167" s="13"/>
      <c r="P167" s="13"/>
      <c r="Q167" s="13"/>
      <c r="R167" s="13"/>
      <c r="S167" s="13"/>
    </row>
  </sheetData>
  <conditionalFormatting sqref="L40:L44">
    <cfRule type="colorScale" priority="2">
      <colorScale>
        <cfvo type="min"/>
        <cfvo type="percentile" val="50"/>
        <cfvo type="max"/>
        <color rgb="FF5A8AC6"/>
        <color rgb="FFFCFCFF"/>
        <color rgb="FFF8696B"/>
      </colorScale>
    </cfRule>
  </conditionalFormatting>
  <conditionalFormatting sqref="Q56:W61">
    <cfRule type="colorScale" priority="16">
      <colorScale>
        <cfvo type="min"/>
        <cfvo type="max"/>
        <color rgb="FF63BE7B"/>
        <color rgb="FFFFEF9C"/>
      </colorScale>
    </cfRule>
  </conditionalFormatting>
  <conditionalFormatting sqref="AB58:AB66">
    <cfRule type="cellIs" dxfId="8" priority="13" operator="equal">
      <formula>1</formula>
    </cfRule>
  </conditionalFormatting>
  <conditionalFormatting sqref="AC58:AC66">
    <cfRule type="cellIs" dxfId="7" priority="14" operator="between">
      <formula>2000</formula>
      <formula>6000</formula>
    </cfRule>
  </conditionalFormatting>
  <conditionalFormatting sqref="AD58:AD66">
    <cfRule type="cellIs" dxfId="6" priority="15" operator="greaterThan">
      <formula>70</formula>
    </cfRule>
  </conditionalFormatting>
  <conditionalFormatting sqref="AE58:AE66">
    <cfRule type="containsText" dxfId="5" priority="12" operator="containsText" text="REETHU">
      <formula>NOT(ISERROR(SEARCH("REETHU",AE58)))</formula>
    </cfRule>
  </conditionalFormatting>
  <conditionalFormatting sqref="AF58:AF66">
    <cfRule type="top10" dxfId="4" priority="10" rank="5"/>
  </conditionalFormatting>
  <conditionalFormatting sqref="AF57:AI57">
    <cfRule type="uniqueValues" dxfId="3" priority="11"/>
  </conditionalFormatting>
  <conditionalFormatting sqref="AG58:AG66">
    <cfRule type="aboveAverage" dxfId="2" priority="9"/>
  </conditionalFormatting>
  <conditionalFormatting sqref="AH58:AH66">
    <cfRule type="top10" dxfId="1" priority="8" bottom="1" rank="5"/>
  </conditionalFormatting>
  <conditionalFormatting sqref="AI58:AI66">
    <cfRule type="top10" dxfId="0" priority="7" percent="1" rank="10"/>
  </conditionalFormatting>
  <conditionalFormatting sqref="AK58:AK66">
    <cfRule type="colorScale" priority="5">
      <colorScale>
        <cfvo type="min"/>
        <cfvo type="max"/>
        <color rgb="FFFF7128"/>
        <color rgb="FFFFEF9C"/>
      </colorScale>
    </cfRule>
  </conditionalFormatting>
  <conditionalFormatting sqref="AM58:AM66">
    <cfRule type="iconSet" priority="6">
      <iconSet iconSet="3Arrows">
        <cfvo type="percent" val="0"/>
        <cfvo type="percent" val="33"/>
        <cfvo type="percent" val="67"/>
      </iconSet>
    </cfRule>
  </conditionalFormatting>
  <conditionalFormatting sqref="AN58:AN66">
    <cfRule type="colorScale" priority="3">
      <colorScale>
        <cfvo type="min"/>
        <cfvo type="percentile" val="50"/>
        <cfvo type="max"/>
        <color rgb="FF5A8AC6"/>
        <color rgb="FFFCFCFF"/>
        <color rgb="FFF8696B"/>
      </colorScale>
    </cfRule>
  </conditionalFormatting>
  <conditionalFormatting sqref="AO58:AO66">
    <cfRule type="dataBar" priority="4">
      <dataBar>
        <cfvo type="min"/>
        <cfvo type="max"/>
        <color rgb="FF638EC6"/>
      </dataBar>
      <extLst>
        <ext xmlns:x14="http://schemas.microsoft.com/office/spreadsheetml/2009/9/main" uri="{B025F937-C7B1-47D3-B67F-A62EFF666E3E}">
          <x14:id>{8752F469-47BA-4989-9F04-6F6B20B9817B}</x14:id>
        </ext>
      </extLst>
    </cfRule>
  </conditionalFormatting>
  <hyperlinks>
    <hyperlink ref="AF37" r:id="rId5" xr:uid="{7992F4B0-F013-49B9-A333-78EBE86522FE}"/>
  </hyperlinks>
  <pageMargins left="0.7" right="0.7" top="0.75" bottom="0.75" header="0.3" footer="0.3"/>
  <pageSetup orientation="portrait" r:id="rId6"/>
  <drawing r:id="rId7"/>
  <tableParts count="2">
    <tablePart r:id="rId8"/>
    <tablePart r:id="rId9"/>
  </tableParts>
  <extLst>
    <ext xmlns:x14="http://schemas.microsoft.com/office/spreadsheetml/2009/9/main" uri="{78C0D931-6437-407d-A8EE-F0AAD7539E65}">
      <x14:conditionalFormattings>
        <x14:conditionalFormatting xmlns:xm="http://schemas.microsoft.com/office/excel/2006/main">
          <x14:cfRule type="iconSet" priority="1" id="{62164780-4105-4D40-B715-F64C76627610}">
            <x14:iconSet iconSet="3Stars">
              <x14:cfvo type="percent">
                <xm:f>0</xm:f>
              </x14:cfvo>
              <x14:cfvo type="percent">
                <xm:f>33</xm:f>
              </x14:cfvo>
              <x14:cfvo type="percent">
                <xm:f>67</xm:f>
              </x14:cfvo>
            </x14:iconSet>
          </x14:cfRule>
          <xm:sqref>AK58:AK66</xm:sqref>
        </x14:conditionalFormatting>
        <x14:conditionalFormatting xmlns:xm="http://schemas.microsoft.com/office/excel/2006/main">
          <x14:cfRule type="dataBar" id="{8752F469-47BA-4989-9F04-6F6B20B9817B}">
            <x14:dataBar minLength="0" maxLength="100" border="1" negativeBarBorderColorSameAsPositive="0">
              <x14:cfvo type="autoMin"/>
              <x14:cfvo type="autoMax"/>
              <x14:borderColor rgb="FF638EC6"/>
              <x14:negativeFillColor rgb="FFFF0000"/>
              <x14:negativeBorderColor rgb="FFFF0000"/>
              <x14:axisColor rgb="FF000000"/>
            </x14:dataBar>
          </x14:cfRule>
          <xm:sqref>AO58:AO66</xm:sqref>
        </x14:conditionalFormatting>
      </x14:conditionalFormattings>
    </ex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2026-06-02T04:21:47Z</dcterms:created>
  <dcterms:modified xsi:type="dcterms:W3CDTF">2026-06-06T10:34:12Z</dcterms:modified>
</cp:coreProperties>
</file>