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ITS\Downloads\"/>
    </mc:Choice>
  </mc:AlternateContent>
  <xr:revisionPtr revIDLastSave="0" documentId="13_ncr:1_{E96CB578-1655-46F3-B630-78E447F8FB81}" xr6:coauthVersionLast="47" xr6:coauthVersionMax="47" xr10:uidLastSave="{00000000-0000-0000-0000-000000000000}"/>
  <bookViews>
    <workbookView xWindow="-120" yWindow="-120" windowWidth="29040" windowHeight="15720" xr2:uid="{77A08F48-2DAC-43EF-B644-C71986656A6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36" i="1" l="1"/>
  <c r="O58" i="1"/>
  <c r="O60" i="1"/>
  <c r="O62" i="1"/>
  <c r="O64" i="1"/>
  <c r="O66" i="1"/>
  <c r="O68" i="1"/>
  <c r="O70" i="1"/>
  <c r="O52" i="1"/>
  <c r="O54" i="1"/>
  <c r="O56" i="1"/>
  <c r="O50" i="1"/>
  <c r="Z11" i="1"/>
  <c r="X11" i="1"/>
  <c r="Z28" i="1"/>
  <c r="X28" i="1"/>
  <c r="Z25" i="1"/>
  <c r="N42" i="1"/>
  <c r="N41" i="1" a="1"/>
  <c r="N41" i="1" s="1"/>
  <c r="N40" i="1"/>
  <c r="Y37" i="1"/>
  <c r="Y36" i="1"/>
  <c r="X36" i="1"/>
  <c r="W36" i="1"/>
  <c r="U36" i="1"/>
  <c r="V36" i="1"/>
  <c r="T36" i="1"/>
  <c r="S37" i="1"/>
  <c r="S36" i="1"/>
  <c r="R37" i="1"/>
  <c r="R36" i="1"/>
  <c r="Q36" i="1"/>
  <c r="N36" i="1"/>
  <c r="M37" i="1"/>
  <c r="L37" i="1"/>
  <c r="M36" i="1"/>
  <c r="L36" i="1"/>
  <c r="H10" i="1"/>
  <c r="J10" i="1"/>
  <c r="L10" i="1"/>
  <c r="J11" i="1"/>
  <c r="L11" i="1"/>
  <c r="H24" i="1"/>
  <c r="I24" i="1"/>
  <c r="J24" i="1"/>
  <c r="K24" i="1"/>
  <c r="L24" i="1"/>
  <c r="M24" i="1"/>
  <c r="H25" i="1"/>
  <c r="M25" i="1" s="1"/>
  <c r="I25" i="1"/>
  <c r="J25" i="1"/>
  <c r="K25" i="1"/>
  <c r="L25" i="1"/>
  <c r="H26" i="1"/>
  <c r="M26" i="1" s="1"/>
  <c r="I26" i="1"/>
  <c r="J26" i="1"/>
  <c r="K26" i="1"/>
  <c r="L26" i="1"/>
  <c r="H27" i="1"/>
  <c r="M27" i="1" s="1"/>
  <c r="I27" i="1"/>
  <c r="J27" i="1"/>
  <c r="K27" i="1"/>
  <c r="L27" i="1"/>
  <c r="H28" i="1"/>
  <c r="M28" i="1" s="1"/>
  <c r="I28" i="1"/>
  <c r="J28" i="1"/>
  <c r="K28" i="1"/>
  <c r="L28" i="1"/>
  <c r="G28" i="1"/>
  <c r="G27" i="1"/>
  <c r="G26" i="1"/>
  <c r="G25" i="1"/>
  <c r="G24" i="1"/>
  <c r="X25" i="1"/>
  <c r="X14" i="1"/>
  <c r="V11" i="1"/>
  <c r="S28" i="1"/>
  <c r="S27" i="1"/>
  <c r="S26" i="1"/>
  <c r="S25" i="1"/>
  <c r="S24" i="1"/>
  <c r="S23" i="1"/>
  <c r="T18" i="1"/>
  <c r="T16" i="1"/>
  <c r="T15" i="1"/>
  <c r="T17" i="1" s="1"/>
  <c r="Z14" i="1"/>
  <c r="T20" i="1" s="1"/>
  <c r="AB17" i="1"/>
  <c r="Z17" i="1"/>
  <c r="X17" i="1"/>
  <c r="V17" i="1"/>
  <c r="V14" i="1"/>
  <c r="F10" i="1"/>
  <c r="T19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<sst xmlns="http://schemas.openxmlformats.org/spreadsheetml/2006/main" count="442" uniqueCount="254">
  <si>
    <t>ID</t>
  </si>
  <si>
    <t>NAME</t>
  </si>
  <si>
    <t>SALARY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</si>
  <si>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</si>
  <si>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</si>
  <si>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</si>
  <si>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</si>
  <si>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</si>
  <si>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</si>
  <si>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</si>
  <si>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</si>
  <si>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</si>
  <si>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</si>
  <si>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VLOOKUP</t>
  </si>
  <si>
    <t>HLOOKUP</t>
  </si>
  <si>
    <t>INDEX</t>
  </si>
  <si>
    <t>MATCH</t>
  </si>
  <si>
    <t>PRODUCT</t>
  </si>
  <si>
    <t>COLOR</t>
  </si>
  <si>
    <t>REGION</t>
  </si>
  <si>
    <t>VALUE</t>
  </si>
  <si>
    <t>PEN</t>
  </si>
  <si>
    <t>BLUE</t>
  </si>
  <si>
    <t>AP</t>
  </si>
  <si>
    <t>PENCIL</t>
  </si>
  <si>
    <t>WHITE</t>
  </si>
  <si>
    <t>KN</t>
  </si>
  <si>
    <t>BOOK</t>
  </si>
  <si>
    <t>TOTAL</t>
  </si>
  <si>
    <t>FIND</t>
  </si>
  <si>
    <t>REPLACE</t>
  </si>
  <si>
    <t>REETHU VEERA</t>
  </si>
  <si>
    <t>SUBSTITUTE</t>
  </si>
  <si>
    <t>MID</t>
  </si>
  <si>
    <t>SEARCH</t>
  </si>
  <si>
    <t>CONCAT</t>
  </si>
  <si>
    <t>FACT</t>
  </si>
  <si>
    <t>ROUND</t>
  </si>
  <si>
    <t>MOD</t>
  </si>
  <si>
    <t>LENGTH</t>
  </si>
  <si>
    <t>MEDIAN</t>
  </si>
  <si>
    <t>RANK</t>
  </si>
  <si>
    <t>LEFT</t>
  </si>
  <si>
    <t>RIGHT</t>
  </si>
  <si>
    <t xml:space="preserve"> SUMIFS FROM ABOVE TABLE</t>
  </si>
  <si>
    <t>BLUE SUM</t>
  </si>
  <si>
    <t>BLUE+AP</t>
  </si>
  <si>
    <t>AVG</t>
  </si>
  <si>
    <t>AVGIF</t>
  </si>
  <si>
    <t>AVGIFS</t>
  </si>
  <si>
    <t>DATE</t>
  </si>
  <si>
    <t>CONDITIONAL OPERATIONS</t>
  </si>
  <si>
    <t>IF</t>
  </si>
  <si>
    <t>COMP IF</t>
  </si>
  <si>
    <t>AND</t>
  </si>
  <si>
    <t>OR</t>
  </si>
  <si>
    <t>NOT</t>
  </si>
  <si>
    <t>AGE</t>
  </si>
  <si>
    <t>CATEGORY</t>
  </si>
  <si>
    <t>MINOR</t>
  </si>
  <si>
    <t>MAJOR</t>
  </si>
  <si>
    <t>XOR</t>
  </si>
  <si>
    <t>RESULT</t>
  </si>
  <si>
    <t>STATISTICAL FUNCTIONS</t>
  </si>
  <si>
    <t>CUST NO</t>
  </si>
  <si>
    <t>BALANCE</t>
  </si>
  <si>
    <t>ESTIMATED BALANCE</t>
  </si>
  <si>
    <t>COUNT</t>
  </si>
  <si>
    <t>COUNTA</t>
  </si>
  <si>
    <t>COUNT BLANK</t>
  </si>
  <si>
    <t>COUNTIF</t>
  </si>
  <si>
    <t>COUNTIFS</t>
  </si>
  <si>
    <t>MEAN</t>
  </si>
  <si>
    <t>MODE</t>
  </si>
  <si>
    <t>STDEVS</t>
  </si>
  <si>
    <t>VARS</t>
  </si>
  <si>
    <t>STDEVP</t>
  </si>
  <si>
    <t>VARP</t>
  </si>
  <si>
    <t>Column1</t>
  </si>
  <si>
    <t>Column2</t>
  </si>
  <si>
    <t>Column3</t>
  </si>
  <si>
    <t>Column4</t>
  </si>
  <si>
    <t>Column5</t>
  </si>
  <si>
    <t>CORRELATION</t>
  </si>
  <si>
    <t>GENDER</t>
  </si>
  <si>
    <t>ENCODE</t>
  </si>
  <si>
    <t>MALE</t>
  </si>
  <si>
    <t>FEMALE</t>
  </si>
  <si>
    <t>EOMONTH</t>
  </si>
  <si>
    <t>NETWORK DAYS</t>
  </si>
  <si>
    <t>WEEKDAY</t>
  </si>
  <si>
    <t>FORMATTING</t>
  </si>
  <si>
    <t>RowNumber</t>
  </si>
  <si>
    <t>CustomerId</t>
  </si>
  <si>
    <t>Surname</t>
  </si>
  <si>
    <t>CreditScore</t>
  </si>
  <si>
    <t>Geography</t>
  </si>
  <si>
    <t>Gender</t>
  </si>
  <si>
    <t>Age</t>
  </si>
  <si>
    <t>Tenure</t>
  </si>
  <si>
    <t>Balance</t>
  </si>
  <si>
    <t>NumOfProducts</t>
  </si>
  <si>
    <t>HasCrCard</t>
  </si>
  <si>
    <t>IsActiveMember</t>
  </si>
  <si>
    <t>EstimatedSalary</t>
  </si>
  <si>
    <t>Hargrave</t>
  </si>
  <si>
    <t>France</t>
  </si>
  <si>
    <t>Female</t>
  </si>
  <si>
    <t>Hill</t>
  </si>
  <si>
    <t>Spain</t>
  </si>
  <si>
    <t>Onio</t>
  </si>
  <si>
    <t>Boni</t>
  </si>
  <si>
    <t>Mitchell</t>
  </si>
  <si>
    <t>Chu</t>
  </si>
  <si>
    <t>Male</t>
  </si>
  <si>
    <t>Bartlett</t>
  </si>
  <si>
    <t>Obinna</t>
  </si>
  <si>
    <t>Germany</t>
  </si>
  <si>
    <t>He</t>
  </si>
  <si>
    <t>H?</t>
  </si>
  <si>
    <t>Bearce</t>
  </si>
  <si>
    <t>Andrews</t>
  </si>
  <si>
    <t>Kay</t>
  </si>
  <si>
    <t>Chin</t>
  </si>
  <si>
    <t>Scott</t>
  </si>
  <si>
    <t>Goforth</t>
  </si>
  <si>
    <t>Romeo</t>
  </si>
  <si>
    <t>Henderson</t>
  </si>
  <si>
    <t>Muldrow</t>
  </si>
  <si>
    <t>Hao</t>
  </si>
  <si>
    <t>McDonald</t>
  </si>
  <si>
    <t>Dellucci</t>
  </si>
  <si>
    <t>Gerasimov</t>
  </si>
  <si>
    <t>NUMBER</t>
  </si>
  <si>
    <t>#.0</t>
  </si>
  <si>
    <t>#.000</t>
  </si>
  <si>
    <t>#.00</t>
  </si>
  <si>
    <t>CONDITINAL FORMATTING</t>
  </si>
  <si>
    <t>BETWEEN</t>
  </si>
  <si>
    <t>GREATER</t>
  </si>
  <si>
    <t>EQUALTO</t>
  </si>
  <si>
    <t>TEXT</t>
  </si>
  <si>
    <t>REETHU</t>
  </si>
  <si>
    <t>HGFVVD</t>
  </si>
  <si>
    <t>FJB</t>
  </si>
  <si>
    <t>WHDF</t>
  </si>
  <si>
    <t>WEHGH</t>
  </si>
  <si>
    <t>FUYTD</t>
  </si>
  <si>
    <t>JFGHEW</t>
  </si>
  <si>
    <t>FDH</t>
  </si>
  <si>
    <t>KYHKU</t>
  </si>
  <si>
    <t>TOP</t>
  </si>
  <si>
    <t>BOTTOM</t>
  </si>
  <si>
    <t>PER</t>
  </si>
  <si>
    <t>DATA BARS</t>
  </si>
  <si>
    <t>DAY</t>
  </si>
  <si>
    <t>CITY</t>
  </si>
  <si>
    <t>ADDRESS</t>
  </si>
  <si>
    <t>WORK</t>
  </si>
  <si>
    <t>DOMAIN</t>
  </si>
  <si>
    <t>GEETHA</t>
  </si>
  <si>
    <t>SEETHA</t>
  </si>
  <si>
    <t xml:space="preserve">VEETHA </t>
  </si>
  <si>
    <t>SEETHU</t>
  </si>
  <si>
    <t>KEETHU</t>
  </si>
  <si>
    <t>NEETHU</t>
  </si>
  <si>
    <t>LEETHU</t>
  </si>
  <si>
    <t>MEETHU</t>
  </si>
  <si>
    <t>DATA</t>
  </si>
  <si>
    <t>DATA FORMATTING</t>
  </si>
  <si>
    <t>HR</t>
  </si>
  <si>
    <t>MANAGER</t>
  </si>
  <si>
    <t>EMPLOYEE</t>
  </si>
  <si>
    <t>MD</t>
  </si>
  <si>
    <t>CEO</t>
  </si>
  <si>
    <t>NEW RULE</t>
  </si>
  <si>
    <t>IMAGE</t>
  </si>
  <si>
    <t>NO</t>
  </si>
  <si>
    <t>PRICE</t>
  </si>
  <si>
    <t>https://www.freeiconspng.com/uploads/logo-whatsapp-png-file-15.png</t>
  </si>
  <si>
    <t>https://pngimg.com/uploads/instagram/instagram_PNG10.png</t>
  </si>
  <si>
    <t>https://tse1.mm.bing.net/th/id/OIP.ok8vkTsVLGwnwx2Hv13PhAHaE8?r=0&amp;w=847&amp;h=565&amp;rs=1&amp;pid=ImgDetMain&amp;o=7&amp;rm=3</t>
  </si>
  <si>
    <t>Temperature</t>
  </si>
  <si>
    <t>Pressure</t>
  </si>
  <si>
    <t>Replication</t>
  </si>
  <si>
    <t>Yield</t>
  </si>
  <si>
    <t>Low</t>
  </si>
  <si>
    <t>Medium</t>
  </si>
  <si>
    <t>High</t>
  </si>
  <si>
    <t>VAL</t>
  </si>
  <si>
    <t>Anova: Two-Factor With Replication</t>
  </si>
  <si>
    <t>SUMMARY</t>
  </si>
  <si>
    <t>Total</t>
  </si>
  <si>
    <t>Count</t>
  </si>
  <si>
    <t>Sum</t>
  </si>
  <si>
    <t>Average</t>
  </si>
  <si>
    <t>Variance</t>
  </si>
  <si>
    <t>ANOVA</t>
  </si>
  <si>
    <t>Source of Variation</t>
  </si>
  <si>
    <t>SS</t>
  </si>
  <si>
    <t>df</t>
  </si>
  <si>
    <t>MS</t>
  </si>
  <si>
    <t>P-value</t>
  </si>
  <si>
    <t>F crit</t>
  </si>
  <si>
    <t>Sample</t>
  </si>
  <si>
    <t>Columns</t>
  </si>
  <si>
    <t>Interaction</t>
  </si>
  <si>
    <t>Within</t>
  </si>
  <si>
    <t>Anova: Two-Factor Without Replication</t>
  </si>
  <si>
    <t>Rows</t>
  </si>
  <si>
    <t>Error</t>
  </si>
  <si>
    <t>Mean</t>
  </si>
  <si>
    <t>Standard Error</t>
  </si>
  <si>
    <t>Median</t>
  </si>
  <si>
    <t>Mode</t>
  </si>
  <si>
    <t>Standard Deviation</t>
  </si>
  <si>
    <t>Sample Variance</t>
  </si>
  <si>
    <t>Kurtosis</t>
  </si>
  <si>
    <t>Skewness</t>
  </si>
  <si>
    <t>Range</t>
  </si>
  <si>
    <t>Minimum</t>
  </si>
  <si>
    <t>Maximum</t>
  </si>
  <si>
    <t>t-Test: Paired Two Sample for Means</t>
  </si>
  <si>
    <t>Observations</t>
  </si>
  <si>
    <t>Pearson Correlation</t>
  </si>
  <si>
    <t>Hypothesized Mean Difference</t>
  </si>
  <si>
    <t>t Stat</t>
  </si>
  <si>
    <t>P(T&lt;=t) one-tail</t>
  </si>
  <si>
    <t>t Critical one-tail</t>
  </si>
  <si>
    <t>P(T&lt;=t) two-tail</t>
  </si>
  <si>
    <t>t Critical two-tail</t>
  </si>
  <si>
    <t xml:space="preserve">STATISTICAL ANALYSIS </t>
  </si>
  <si>
    <t>Anova: Single Factor</t>
  </si>
  <si>
    <t>Groups</t>
  </si>
  <si>
    <t>Between Groups</t>
  </si>
  <si>
    <t>Within Groups</t>
  </si>
  <si>
    <t>DESCRIPTIVE ANALYSIS</t>
  </si>
  <si>
    <t>CTRL+1</t>
  </si>
  <si>
    <t>With Replication</t>
  </si>
  <si>
    <t>store1</t>
  </si>
  <si>
    <t>store2</t>
  </si>
  <si>
    <t>store3</t>
  </si>
  <si>
    <t>product</t>
  </si>
  <si>
    <t>mobilr</t>
  </si>
  <si>
    <t>buds</t>
  </si>
  <si>
    <t>laptop</t>
  </si>
  <si>
    <t>without replication</t>
  </si>
  <si>
    <t>city</t>
  </si>
  <si>
    <t>male</t>
  </si>
  <si>
    <t>female</t>
  </si>
  <si>
    <t>pune</t>
  </si>
  <si>
    <t>ap</t>
  </si>
  <si>
    <t>beng</t>
  </si>
  <si>
    <t>tn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</si>
</sst>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164" formatCode="[$-F800]dddd\,\ mmmm\ dd\,\ yyyy"/>
    <numFmt numFmtId="165" formatCode="&quot;₹&quot;\ #,##0.00;[Red]&quot;₹&quot;\ #,##0.00"/>
    <numFmt numFmtId="166" formatCode="0.0%"/>
    <numFmt numFmtId="167" formatCode="[$-14009]yyyy/mm/dd;@"/>
    <numFmt numFmtId="168" formatCode="#,##0;#,##0;;"/>
    <numFmt numFmtId="169" formatCode="0.0"/>
    <numFmt numFmtId="170" formatCode="#.0"/>
    <numFmt numFmtId="171" formatCode="#.00"/>
    <numFmt numFmtId="172" formatCode="#.000"/>
    <numFmt numFmtId="173" formatCode="#,##0_ ;[Red]\-#,##0\ "/>
    <numFmt numFmtId="174" formatCode="#,##0;##0;"/>
    <numFmt numFmtId="175" formatCode="#,##0;\-#,##0\ &quot;NEG&quot;;"/>
    <numFmt numFmtId="176" formatCode="##,#0#,##0;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C00000"/>
      <name val="Calibri"/>
      <family val="2"/>
      <scheme val="minor"/>
    </font>
    <font>
      <i/>
      <sz val="11"/>
      <color theme="1"/>
      <name val="Times New Roman"/>
      <family val="1"/>
    </font>
    <font>
      <u/>
      <sz val="11"/>
      <color theme="10"/>
      <name val="Calibri"/>
      <family val="2"/>
      <scheme val="minor"/>
    </font>
    <font>
      <b/>
      <sz val="15"/>
      <color theme="3"/>
      <name val="Calibri"/>
      <family val="2"/>
      <scheme val="minor"/>
    </font>
    <font>
      <i/>
      <sz val="11"/>
      <color theme="1"/>
      <name val="Calibri"/>
      <family val="2"/>
      <scheme val="minor"/>
    </font>
    <font>
      <i/>
      <sz val="10"/>
      <color theme="1"/>
      <name val="Calibri"/>
      <family val="2"/>
      <scheme val="minor"/>
    </font>
  </fonts>
  <fills count="30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0"/>
        <bgColor indexed="64"/>
      </patternFill>
    </fill>
    <fill>
      <patternFill patternType="solid">
        <fgColor rgb="FFFFCC99"/>
      </patternFill>
    </fill>
    <fill>
      <patternFill patternType="solid">
        <fgColor rgb="FFFFFFCC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39994506668294322"/>
        <bgColor indexed="64"/>
      </patternFill>
    </fill>
    <fill>
      <patternFill patternType="solid">
        <fgColor theme="5" tint="0.39994506668294322"/>
        <bgColor indexed="64"/>
      </patternFill>
    </fill>
    <fill>
      <patternFill patternType="solid">
        <fgColor theme="9" tint="0.39997558519241921"/>
        <bgColor indexed="65"/>
      </patternFill>
    </fill>
  </fills>
  <borders count="28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thick">
        <color auto="1"/>
      </left>
      <right style="dashed">
        <color auto="1"/>
      </right>
      <top style="thick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thick">
        <color auto="1"/>
      </top>
      <bottom style="dashed">
        <color auto="1"/>
      </bottom>
      <diagonal/>
    </border>
    <border>
      <left style="dashed">
        <color auto="1"/>
      </left>
      <right style="thick">
        <color auto="1"/>
      </right>
      <top style="thick">
        <color auto="1"/>
      </top>
      <bottom style="dashed">
        <color auto="1"/>
      </bottom>
      <diagonal/>
    </border>
    <border>
      <left style="thick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thick">
        <color auto="1"/>
      </right>
      <top style="dashed">
        <color auto="1"/>
      </top>
      <bottom style="dashed">
        <color auto="1"/>
      </bottom>
      <diagonal/>
    </border>
    <border>
      <left style="thick">
        <color auto="1"/>
      </left>
      <right style="dashed">
        <color auto="1"/>
      </right>
      <top style="dashed">
        <color auto="1"/>
      </top>
      <bottom style="thick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thick">
        <color auto="1"/>
      </bottom>
      <diagonal/>
    </border>
    <border>
      <left style="dashed">
        <color auto="1"/>
      </left>
      <right style="thick">
        <color auto="1"/>
      </right>
      <top style="dashed">
        <color auto="1"/>
      </top>
      <bottom style="thick">
        <color auto="1"/>
      </bottom>
      <diagonal/>
    </border>
    <border>
      <left style="thin">
        <color auto="1"/>
      </left>
      <right style="dotted">
        <color auto="1"/>
      </right>
      <top style="thin">
        <color auto="1"/>
      </top>
      <bottom style="dotted">
        <color auto="1"/>
      </bottom>
      <diagonal/>
    </border>
    <border>
      <left style="dotted">
        <color auto="1"/>
      </left>
      <right style="dotted">
        <color auto="1"/>
      </right>
      <top style="thin">
        <color auto="1"/>
      </top>
      <bottom style="dotted">
        <color auto="1"/>
      </bottom>
      <diagonal/>
    </border>
    <border>
      <left style="dotted">
        <color auto="1"/>
      </left>
      <right style="thin">
        <color auto="1"/>
      </right>
      <top style="thin">
        <color auto="1"/>
      </top>
      <bottom style="dotted">
        <color auto="1"/>
      </bottom>
      <diagonal/>
    </border>
    <border>
      <left style="thin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 style="thin">
        <color auto="1"/>
      </right>
      <top style="dotted">
        <color auto="1"/>
      </top>
      <bottom style="dotted">
        <color auto="1"/>
      </bottom>
      <diagonal/>
    </border>
    <border>
      <left style="thin">
        <color auto="1"/>
      </left>
      <right style="dotted">
        <color auto="1"/>
      </right>
      <top style="dotted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thin">
        <color auto="1"/>
      </bottom>
      <diagonal/>
    </border>
    <border>
      <left style="dotted">
        <color auto="1"/>
      </left>
      <right style="thin">
        <color auto="1"/>
      </right>
      <top style="dotted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18"/>
      </bottom>
      <diagonal/>
    </border>
  </borders>
  <cellStyleXfs count="28">
    <xf numFmtId="0" fontId="0" fillId="0" borderId="0"/>
    <xf numFmtId="0" fontId="2" fillId="2" borderId="0" applyNumberFormat="0" applyBorder="0" applyAlignment="0" applyProtection="0"/>
    <xf numFmtId="0" fontId="3" fillId="3" borderId="0" applyNumberFormat="0" applyBorder="0" applyAlignment="0" applyProtection="0"/>
    <xf numFmtId="0" fontId="4" fillId="4" borderId="0" applyNumberFormat="0" applyBorder="0" applyAlignment="0" applyProtection="0"/>
    <xf numFmtId="0" fontId="5" fillId="5" borderId="1" applyNumberFormat="0" applyAlignment="0" applyProtection="0"/>
    <xf numFmtId="0" fontId="6" fillId="6" borderId="2" applyNumberFormat="0" applyAlignment="0" applyProtection="0"/>
    <xf numFmtId="0" fontId="7" fillId="7" borderId="0" applyNumberFormat="0" applyBorder="0" applyAlignment="0" applyProtection="0"/>
    <xf numFmtId="0" fontId="1" fillId="8" borderId="0" applyNumberFormat="0" applyBorder="0" applyAlignment="0" applyProtection="0"/>
    <xf numFmtId="0" fontId="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7" fillId="13" borderId="0" applyNumberFormat="0" applyBorder="0" applyAlignment="0" applyProtection="0"/>
    <xf numFmtId="0" fontId="8" fillId="15" borderId="1" applyNumberFormat="0" applyAlignment="0" applyProtection="0"/>
    <xf numFmtId="0" fontId="1" fillId="16" borderId="3" applyNumberFormat="0" applyFont="0" applyAlignment="0" applyProtection="0"/>
    <xf numFmtId="0" fontId="1" fillId="17" borderId="0" applyNumberFormat="0" applyBorder="0" applyAlignment="0" applyProtection="0"/>
    <xf numFmtId="0" fontId="7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7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7" fillId="26" borderId="0" applyNumberFormat="0" applyBorder="0" applyAlignment="0" applyProtection="0"/>
    <xf numFmtId="0" fontId="11" fillId="0" borderId="0" applyNumberFormat="0" applyFill="0" applyBorder="0" applyAlignment="0" applyProtection="0"/>
    <xf numFmtId="0" fontId="12" fillId="0" borderId="24" applyNumberFormat="0" applyFill="0" applyAlignment="0" applyProtection="0"/>
    <xf numFmtId="0" fontId="1" fillId="29" borderId="0" applyNumberFormat="0" applyBorder="0" applyAlignment="0" applyProtection="0"/>
  </cellStyleXfs>
  <cellXfs count="110">
    <xf numFmtId="0" fontId="0" fillId="0" borderId="0" xfId="0"/>
    <xf numFmtId="0" fontId="2" fillId="2" borderId="0" xfId="1"/>
    <xf numFmtId="0" fontId="4" fillId="4" borderId="0" xfId="3"/>
    <xf numFmtId="0" fontId="3" fillId="3" borderId="0" xfId="2"/>
    <xf numFmtId="0" fontId="1" fillId="12" borderId="0" xfId="11"/>
    <xf numFmtId="0" fontId="5" fillId="5" borderId="1" xfId="4"/>
    <xf numFmtId="0" fontId="6" fillId="6" borderId="2" xfId="5"/>
    <xf numFmtId="0" fontId="4" fillId="4" borderId="1" xfId="3" applyBorder="1"/>
    <xf numFmtId="14" fontId="0" fillId="0" borderId="0" xfId="0" applyNumberFormat="1"/>
    <xf numFmtId="0" fontId="1" fillId="14" borderId="0" xfId="9" applyFill="1"/>
    <xf numFmtId="0" fontId="7" fillId="7" borderId="0" xfId="6"/>
    <xf numFmtId="0" fontId="7" fillId="13" borderId="0" xfId="12"/>
    <xf numFmtId="0" fontId="7" fillId="9" borderId="0" xfId="8"/>
    <xf numFmtId="0" fontId="1" fillId="8" borderId="0" xfId="7"/>
    <xf numFmtId="0" fontId="1" fillId="11" borderId="0" xfId="10"/>
    <xf numFmtId="0" fontId="0" fillId="0" borderId="4" xfId="0" applyBorder="1" applyAlignment="1">
      <alignment wrapText="1"/>
    </xf>
    <xf numFmtId="0" fontId="0" fillId="0" borderId="4" xfId="0" applyBorder="1" applyAlignment="1">
      <alignment vertical="center"/>
    </xf>
    <xf numFmtId="0" fontId="0" fillId="0" borderId="0" xfId="0" applyAlignment="1">
      <alignment wrapText="1"/>
    </xf>
    <xf numFmtId="0" fontId="3" fillId="3" borderId="4" xfId="2" applyBorder="1" applyAlignment="1">
      <alignment wrapText="1"/>
    </xf>
    <xf numFmtId="0" fontId="4" fillId="4" borderId="4" xfId="3" applyBorder="1" applyAlignment="1">
      <alignment wrapText="1"/>
    </xf>
    <xf numFmtId="0" fontId="2" fillId="2" borderId="4" xfId="1" applyBorder="1" applyAlignment="1">
      <alignment wrapText="1"/>
    </xf>
    <xf numFmtId="0" fontId="6" fillId="6" borderId="2" xfId="5" applyAlignment="1">
      <alignment wrapText="1"/>
    </xf>
    <xf numFmtId="0" fontId="7" fillId="18" borderId="4" xfId="16" applyBorder="1" applyAlignment="1">
      <alignment vertical="center"/>
    </xf>
    <xf numFmtId="0" fontId="7" fillId="22" borderId="0" xfId="20"/>
    <xf numFmtId="0" fontId="1" fillId="23" borderId="0" xfId="21"/>
    <xf numFmtId="0" fontId="1" fillId="17" borderId="0" xfId="15"/>
    <xf numFmtId="0" fontId="1" fillId="21" borderId="0" xfId="19"/>
    <xf numFmtId="0" fontId="1" fillId="24" borderId="0" xfId="22"/>
    <xf numFmtId="0" fontId="8" fillId="15" borderId="1" xfId="13"/>
    <xf numFmtId="0" fontId="1" fillId="20" borderId="0" xfId="18"/>
    <xf numFmtId="0" fontId="1" fillId="19" borderId="0" xfId="17"/>
    <xf numFmtId="0" fontId="0" fillId="16" borderId="3" xfId="14" applyFont="1"/>
    <xf numFmtId="0" fontId="1" fillId="25" borderId="0" xfId="23"/>
    <xf numFmtId="0" fontId="7" fillId="18" borderId="0" xfId="16"/>
    <xf numFmtId="0" fontId="7" fillId="26" borderId="0" xfId="24"/>
    <xf numFmtId="0" fontId="9" fillId="0" borderId="0" xfId="0" applyFont="1"/>
    <xf numFmtId="0" fontId="2" fillId="2" borderId="6" xfId="1" applyBorder="1"/>
    <xf numFmtId="0" fontId="2" fillId="2" borderId="7" xfId="1" applyBorder="1"/>
    <xf numFmtId="0" fontId="2" fillId="2" borderId="8" xfId="1" applyBorder="1"/>
    <xf numFmtId="0" fontId="0" fillId="0" borderId="15" xfId="0" applyBorder="1"/>
    <xf numFmtId="0" fontId="0" fillId="0" borderId="17" xfId="0" applyBorder="1"/>
    <xf numFmtId="1" fontId="0" fillId="0" borderId="18" xfId="0" applyNumberFormat="1" applyBorder="1"/>
    <xf numFmtId="169" fontId="0" fillId="0" borderId="18" xfId="0" applyNumberFormat="1" applyBorder="1"/>
    <xf numFmtId="170" fontId="0" fillId="0" borderId="18" xfId="0" applyNumberFormat="1" applyBorder="1"/>
    <xf numFmtId="2" fontId="0" fillId="0" borderId="18" xfId="0" applyNumberFormat="1" applyBorder="1"/>
    <xf numFmtId="171" fontId="0" fillId="0" borderId="18" xfId="0" applyNumberFormat="1" applyBorder="1"/>
    <xf numFmtId="172" fontId="0" fillId="0" borderId="19" xfId="0" applyNumberFormat="1" applyBorder="1"/>
    <xf numFmtId="0" fontId="0" fillId="0" borderId="20" xfId="0" applyBorder="1"/>
    <xf numFmtId="1" fontId="0" fillId="0" borderId="21" xfId="0" applyNumberFormat="1" applyBorder="1"/>
    <xf numFmtId="169" fontId="0" fillId="0" borderId="21" xfId="0" applyNumberFormat="1" applyBorder="1"/>
    <xf numFmtId="170" fontId="0" fillId="0" borderId="21" xfId="0" applyNumberFormat="1" applyBorder="1"/>
    <xf numFmtId="2" fontId="0" fillId="0" borderId="21" xfId="0" applyNumberFormat="1" applyBorder="1"/>
    <xf numFmtId="171" fontId="0" fillId="0" borderId="21" xfId="0" applyNumberFormat="1" applyBorder="1"/>
    <xf numFmtId="172" fontId="0" fillId="0" borderId="22" xfId="0" applyNumberFormat="1" applyBorder="1"/>
    <xf numFmtId="0" fontId="3" fillId="3" borderId="14" xfId="2" applyBorder="1"/>
    <xf numFmtId="0" fontId="7" fillId="18" borderId="15" xfId="16" applyBorder="1"/>
    <xf numFmtId="0" fontId="3" fillId="3" borderId="15" xfId="2" applyBorder="1"/>
    <xf numFmtId="0" fontId="3" fillId="3" borderId="16" xfId="2" applyBorder="1"/>
    <xf numFmtId="0" fontId="1" fillId="25" borderId="23" xfId="23" applyBorder="1"/>
    <xf numFmtId="0" fontId="1" fillId="12" borderId="23" xfId="11" applyBorder="1"/>
    <xf numFmtId="0" fontId="0" fillId="0" borderId="23" xfId="0" applyBorder="1"/>
    <xf numFmtId="0" fontId="1" fillId="10" borderId="0" xfId="9"/>
    <xf numFmtId="0" fontId="11" fillId="0" borderId="0" xfId="25"/>
    <xf numFmtId="0" fontId="0" fillId="27" borderId="9" xfId="0" applyFill="1" applyBorder="1"/>
    <xf numFmtId="173" fontId="0" fillId="27" borderId="5" xfId="0" applyNumberFormat="1" applyFill="1" applyBorder="1"/>
    <xf numFmtId="0" fontId="0" fillId="27" borderId="5" xfId="0" applyFill="1" applyBorder="1"/>
    <xf numFmtId="37" fontId="0" fillId="27" borderId="5" xfId="0" applyNumberFormat="1" applyFill="1" applyBorder="1"/>
    <xf numFmtId="0" fontId="7" fillId="27" borderId="5" xfId="0" applyFont="1" applyFill="1" applyBorder="1"/>
    <xf numFmtId="0" fontId="10" fillId="27" borderId="5" xfId="0" applyFont="1" applyFill="1" applyBorder="1"/>
    <xf numFmtId="166" fontId="0" fillId="27" borderId="5" xfId="0" applyNumberFormat="1" applyFill="1" applyBorder="1"/>
    <xf numFmtId="168" fontId="0" fillId="27" borderId="5" xfId="0" applyNumberFormat="1" applyFill="1" applyBorder="1" applyAlignment="1">
      <alignment horizontal="left" vertical="center"/>
    </xf>
    <xf numFmtId="167" fontId="0" fillId="27" borderId="5" xfId="0" applyNumberFormat="1" applyFill="1" applyBorder="1"/>
    <xf numFmtId="165" fontId="0" fillId="27" borderId="5" xfId="0" applyNumberFormat="1" applyFill="1" applyBorder="1"/>
    <xf numFmtId="164" fontId="0" fillId="27" borderId="10" xfId="0" applyNumberFormat="1" applyFill="1" applyBorder="1"/>
    <xf numFmtId="0" fontId="0" fillId="27" borderId="11" xfId="0" applyFill="1" applyBorder="1"/>
    <xf numFmtId="173" fontId="0" fillId="27" borderId="12" xfId="0" applyNumberFormat="1" applyFill="1" applyBorder="1"/>
    <xf numFmtId="0" fontId="0" fillId="27" borderId="12" xfId="0" applyFill="1" applyBorder="1"/>
    <xf numFmtId="37" fontId="0" fillId="27" borderId="12" xfId="0" applyNumberFormat="1" applyFill="1" applyBorder="1"/>
    <xf numFmtId="0" fontId="7" fillId="27" borderId="12" xfId="0" applyFont="1" applyFill="1" applyBorder="1"/>
    <xf numFmtId="0" fontId="10" fillId="27" borderId="12" xfId="0" applyFont="1" applyFill="1" applyBorder="1"/>
    <xf numFmtId="166" fontId="0" fillId="27" borderId="12" xfId="0" applyNumberFormat="1" applyFill="1" applyBorder="1"/>
    <xf numFmtId="168" fontId="0" fillId="27" borderId="12" xfId="0" applyNumberFormat="1" applyFill="1" applyBorder="1" applyAlignment="1">
      <alignment horizontal="left" vertical="center"/>
    </xf>
    <xf numFmtId="167" fontId="0" fillId="27" borderId="12" xfId="0" applyNumberFormat="1" applyFill="1" applyBorder="1"/>
    <xf numFmtId="165" fontId="0" fillId="27" borderId="12" xfId="0" applyNumberFormat="1" applyFill="1" applyBorder="1"/>
    <xf numFmtId="164" fontId="0" fillId="27" borderId="13" xfId="0" applyNumberFormat="1" applyFill="1" applyBorder="1"/>
    <xf numFmtId="0" fontId="0" fillId="28" borderId="5" xfId="0" applyFill="1" applyBorder="1"/>
    <xf numFmtId="0" fontId="0" fillId="28" borderId="12" xfId="0" applyFill="1" applyBorder="1"/>
    <xf numFmtId="174" fontId="0" fillId="27" borderId="5" xfId="0" applyNumberFormat="1" applyFill="1" applyBorder="1"/>
    <xf numFmtId="174" fontId="0" fillId="27" borderId="12" xfId="0" applyNumberFormat="1" applyFill="1" applyBorder="1"/>
    <xf numFmtId="175" fontId="0" fillId="27" borderId="5" xfId="0" applyNumberFormat="1" applyFill="1" applyBorder="1"/>
    <xf numFmtId="175" fontId="0" fillId="27" borderId="12" xfId="0" applyNumberFormat="1" applyFill="1" applyBorder="1"/>
    <xf numFmtId="176" fontId="0" fillId="27" borderId="5" xfId="0" applyNumberFormat="1" applyFill="1" applyBorder="1"/>
    <xf numFmtId="0" fontId="0" fillId="0" borderId="0" xfId="0" applyAlignment="1">
      <alignment horizontal="right" vertical="center" wrapText="1"/>
    </xf>
    <xf numFmtId="0" fontId="0" fillId="0" borderId="0" xfId="0" applyAlignment="1">
      <alignment vertical="center" wrapText="1"/>
    </xf>
    <xf numFmtId="3" fontId="0" fillId="0" borderId="0" xfId="0" applyNumberFormat="1" applyAlignment="1">
      <alignment horizontal="right" vertical="center" wrapText="1"/>
    </xf>
    <xf numFmtId="0" fontId="0" fillId="0" borderId="0" xfId="0" applyFill="1" applyBorder="1" applyAlignment="1"/>
    <xf numFmtId="0" fontId="0" fillId="0" borderId="25" xfId="0" applyFill="1" applyBorder="1" applyAlignment="1"/>
    <xf numFmtId="0" fontId="13" fillId="0" borderId="26" xfId="0" applyFont="1" applyFill="1" applyBorder="1" applyAlignment="1">
      <alignment horizontal="center"/>
    </xf>
    <xf numFmtId="0" fontId="14" fillId="0" borderId="27" xfId="0" applyFont="1" applyFill="1" applyBorder="1" applyAlignment="1">
      <alignment horizontal="right"/>
    </xf>
    <xf numFmtId="0" fontId="2" fillId="2" borderId="0" xfId="1" applyAlignment="1">
      <alignment horizontal="center" vertical="center" wrapText="1"/>
    </xf>
    <xf numFmtId="0" fontId="2" fillId="2" borderId="0" xfId="1" applyAlignment="1">
      <alignment horizontal="right" vertical="center" wrapText="1"/>
    </xf>
    <xf numFmtId="0" fontId="12" fillId="0" borderId="24" xfId="26"/>
    <xf numFmtId="0" fontId="1" fillId="8" borderId="26" xfId="7" applyBorder="1" applyAlignment="1">
      <alignment horizontal="center"/>
    </xf>
    <xf numFmtId="0" fontId="1" fillId="12" borderId="26" xfId="11" applyBorder="1" applyAlignment="1">
      <alignment horizontal="center"/>
    </xf>
    <xf numFmtId="0" fontId="1" fillId="29" borderId="26" xfId="27" applyBorder="1" applyAlignment="1">
      <alignment horizontal="center"/>
    </xf>
    <xf numFmtId="0" fontId="1" fillId="17" borderId="26" xfId="15" applyBorder="1" applyAlignment="1">
      <alignment horizontal="center"/>
    </xf>
    <xf numFmtId="0" fontId="1" fillId="11" borderId="26" xfId="10" applyBorder="1" applyAlignment="1">
      <alignment horizontal="center"/>
    </xf>
    <xf numFmtId="0" fontId="12" fillId="25" borderId="24" xfId="26" applyFill="1"/>
    <xf numFmtId="0" fontId="12" fillId="3" borderId="24" xfId="26" applyFill="1"/>
    <xf numFmtId="0" fontId="1" fillId="8" borderId="0" xfId="7" applyBorder="1" applyAlignment="1">
      <alignment horizontal="center"/>
    </xf>
  </cellXfs>
  <cellStyles count="28">
    <cellStyle name="20% - Accent3" xfId="18" builtinId="38"/>
    <cellStyle name="40% - Accent2" xfId="17" builtinId="35"/>
    <cellStyle name="40% - Accent3" xfId="19" builtinId="39"/>
    <cellStyle name="40% - Accent4" xfId="21" builtinId="43"/>
    <cellStyle name="40% - Accent5" xfId="10" builtinId="47"/>
    <cellStyle name="40% - Accent6" xfId="22" builtinId="51"/>
    <cellStyle name="60% - Accent1" xfId="15" builtinId="32"/>
    <cellStyle name="60% - Accent2" xfId="7" builtinId="36"/>
    <cellStyle name="60% - Accent3" xfId="9" builtinId="40"/>
    <cellStyle name="60% - Accent4" xfId="23" builtinId="44"/>
    <cellStyle name="60% - Accent5" xfId="11" builtinId="48"/>
    <cellStyle name="60% - Accent6" xfId="27" builtinId="52"/>
    <cellStyle name="Accent1" xfId="6" builtinId="29"/>
    <cellStyle name="Accent2" xfId="16" builtinId="33"/>
    <cellStyle name="Accent3" xfId="8" builtinId="37"/>
    <cellStyle name="Accent4" xfId="20" builtinId="41"/>
    <cellStyle name="Accent5" xfId="24" builtinId="45"/>
    <cellStyle name="Accent6" xfId="12" builtinId="49"/>
    <cellStyle name="Bad" xfId="2" builtinId="27"/>
    <cellStyle name="Calculation" xfId="4" builtinId="22"/>
    <cellStyle name="Check Cell" xfId="5" builtinId="23"/>
    <cellStyle name="Good" xfId="1" builtinId="26"/>
    <cellStyle name="Heading 1" xfId="26" builtinId="16"/>
    <cellStyle name="Hyperlink" xfId="25" builtinId="8"/>
    <cellStyle name="Input" xfId="13" builtinId="20"/>
    <cellStyle name="Neutral" xfId="3" builtinId="28"/>
    <cellStyle name="Normal" xfId="0" builtinId="0"/>
    <cellStyle name="Note" xfId="14" builtinId="1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3A8FB4B-536B-40BA-A4E6-6035DC525937}" name="Table1" displayName="Table1" ref="E35:I44" totalsRowShown="0">
  <autoFilter ref="E35:I44" xr:uid="{A3A8FB4B-536B-40BA-A4E6-6035DC525937}"/>
  <tableColumns count="5">
    <tableColumn id="1" xr3:uid="{89BA967D-44F9-4872-AF11-E5A6F5F11D5A}" name="Column1"/>
    <tableColumn id="2" xr3:uid="{7335564B-C5FF-4610-B268-BCE61E909340}" name="Column2" dataDxfId="9"/>
    <tableColumn id="3" xr3:uid="{85095233-3EC0-4019-8E8D-F08DA2E07658}" name="Column3"/>
    <tableColumn id="4" xr3:uid="{EE1EAAA6-D2DF-4303-8B22-C36E835D7BCC}" name="Column4"/>
    <tableColumn id="5" xr3:uid="{27030ABD-E784-4A4F-8777-644572FC0F27}" name="Column5"/>
  </tableColumns>
  <tableStyleInfo name="TableStyleMedium1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FAA1B48-CFE2-4E04-A338-5E62F3CB0706}" name="Table2" displayName="Table2" ref="AE36:AG39" totalsRowShown="0">
  <autoFilter ref="AE36:AG39" xr:uid="{3FAA1B48-CFE2-4E04-A338-5E62F3CB0706}"/>
  <tableColumns count="3">
    <tableColumn id="1" xr3:uid="{CE9AAC14-DF67-4DE6-AAF8-962AD25F208F}" name="NO"/>
    <tableColumn id="2" xr3:uid="{2E742875-1472-41B0-A940-4D5B0AE31969}" name="IMAGE"/>
    <tableColumn id="3" xr3:uid="{2F88A450-1085-4A4F-AFD8-A3127B73E2DB}" name="PRICE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freeiconspng.com/uploads/logo-whatsapp-png-file-15.png" TargetMode="External"/><Relationship Id="rId4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EBD79-031E-4583-A324-499058AD4AFD}">
  <dimension ref="A1:AP135"/>
  <sheetViews>
    <sheetView tabSelected="1" topLeftCell="A85" zoomScale="115" zoomScaleNormal="115" workbookViewId="0">
      <selection activeCell="P99" sqref="P99"/>
    </sheetView>
  </sheetViews>
  <sheetFormatPr defaultRowHeight="15" x14ac:dyDescent="0.25"/>
  <cols>
    <col min="2" max="2" width="19.7109375" bestFit="1" customWidth="1"/>
    <col min="4" max="4" width="10.42578125" bestFit="1" customWidth="1"/>
    <col min="5" max="9" width="11" customWidth="1"/>
    <col min="11" max="11" width="14.7109375" bestFit="1" customWidth="1"/>
    <col min="13" max="13" width="12.28515625" bestFit="1" customWidth="1"/>
    <col min="15" max="15" width="14.7109375" bestFit="1" customWidth="1"/>
    <col min="24" max="24" width="10.42578125" bestFit="1" customWidth="1"/>
    <col min="32" max="32" width="9.140625" customWidth="1"/>
  </cols>
  <sheetData>
    <row r="1" spans="1:28" x14ac:dyDescent="0.25">
      <c r="A1" s="1" t="s">
        <v>0</v>
      </c>
      <c r="B1" s="32" t="s">
        <v>1</v>
      </c>
      <c r="C1" s="34" t="s">
        <v>2</v>
      </c>
      <c r="J1" s="2">
        <v>0</v>
      </c>
    </row>
    <row r="2" spans="1:28" x14ac:dyDescent="0.25">
      <c r="A2">
        <v>101</v>
      </c>
      <c r="B2" t="s">
        <v>3</v>
      </c>
      <c r="C2">
        <v>897352</v>
      </c>
    </row>
    <row r="3" spans="1:28" x14ac:dyDescent="0.25">
      <c r="A3">
        <v>102</v>
      </c>
      <c r="B3" t="s">
        <v>4</v>
      </c>
      <c r="C3">
        <v>897353</v>
      </c>
      <c r="L3" s="1" t="s">
        <v>0</v>
      </c>
      <c r="M3">
        <v>101</v>
      </c>
      <c r="N3">
        <v>102</v>
      </c>
      <c r="O3">
        <v>103</v>
      </c>
      <c r="P3">
        <v>104</v>
      </c>
      <c r="Q3">
        <v>105</v>
      </c>
      <c r="R3">
        <v>106</v>
      </c>
      <c r="S3">
        <v>107</v>
      </c>
      <c r="T3">
        <v>108</v>
      </c>
      <c r="U3">
        <v>109</v>
      </c>
      <c r="V3">
        <v>110</v>
      </c>
    </row>
    <row r="4" spans="1:28" x14ac:dyDescent="0.25">
      <c r="A4">
        <v>103</v>
      </c>
      <c r="B4" t="s">
        <v>5</v>
      </c>
      <c r="C4">
        <v>897354</v>
      </c>
      <c r="L4" s="2" t="s">
        <v>1</v>
      </c>
      <c r="M4" t="s">
        <v>3</v>
      </c>
      <c r="N4" t="s">
        <v>4</v>
      </c>
      <c r="O4" t="s">
        <v>5</v>
      </c>
      <c r="P4" t="s">
        <v>6</v>
      </c>
      <c r="Q4" t="s">
        <v>3</v>
      </c>
      <c r="R4" t="s">
        <v>8</v>
      </c>
      <c r="S4" t="s">
        <v>9</v>
      </c>
      <c r="T4" t="s">
        <v>10</v>
      </c>
      <c r="U4" t="s">
        <v>11</v>
      </c>
      <c r="V4" t="s">
        <v>12</v>
      </c>
    </row>
    <row r="5" spans="1:28" x14ac:dyDescent="0.25">
      <c r="A5">
        <v>104</v>
      </c>
      <c r="B5" t="s">
        <v>6</v>
      </c>
      <c r="C5">
        <v>897355</v>
      </c>
      <c r="L5" s="3" t="s">
        <v>2</v>
      </c>
      <c r="M5">
        <v>897352</v>
      </c>
      <c r="N5">
        <v>897353</v>
      </c>
      <c r="O5">
        <v>897354</v>
      </c>
      <c r="P5">
        <v>897355</v>
      </c>
      <c r="Q5">
        <v>897356</v>
      </c>
      <c r="R5">
        <v>897357</v>
      </c>
      <c r="S5">
        <v>897358</v>
      </c>
      <c r="T5">
        <v>897359</v>
      </c>
      <c r="U5">
        <v>897360</v>
      </c>
      <c r="V5">
        <v>897361</v>
      </c>
    </row>
    <row r="6" spans="1:28" x14ac:dyDescent="0.25">
      <c r="A6">
        <v>105</v>
      </c>
      <c r="B6" t="s">
        <v>7</v>
      </c>
      <c r="C6">
        <v>897356</v>
      </c>
    </row>
    <row r="7" spans="1:28" x14ac:dyDescent="0.25">
      <c r="A7">
        <v>106</v>
      </c>
      <c r="B7" t="s">
        <v>8</v>
      </c>
      <c r="C7">
        <v>897357</v>
      </c>
    </row>
    <row r="8" spans="1:28" x14ac:dyDescent="0.25">
      <c r="A8">
        <v>107</v>
      </c>
      <c r="B8" t="s">
        <v>9</v>
      </c>
      <c r="C8">
        <v>897358</v>
      </c>
      <c r="Z8" t="s">
        <v>31</v>
      </c>
    </row>
    <row r="9" spans="1:28" x14ac:dyDescent="0.25">
      <c r="A9">
        <v>108</v>
      </c>
      <c r="B9" t="s">
        <v>10</v>
      </c>
      <c r="C9">
        <v>897359</v>
      </c>
      <c r="F9" s="1" t="s">
        <v>13</v>
      </c>
      <c r="H9" s="2" t="s">
        <v>14</v>
      </c>
      <c r="J9" s="3" t="s">
        <v>15</v>
      </c>
      <c r="L9" s="1" t="s">
        <v>16</v>
      </c>
      <c r="Q9" s="3" t="s">
        <v>17</v>
      </c>
      <c r="R9" s="1" t="s">
        <v>18</v>
      </c>
      <c r="S9" s="2" t="s">
        <v>19</v>
      </c>
      <c r="T9" s="4" t="s">
        <v>20</v>
      </c>
    </row>
    <row r="10" spans="1:28" x14ac:dyDescent="0.25">
      <c r="A10">
        <v>109</v>
      </c>
      <c r="B10" t="s">
        <v>11</v>
      </c>
      <c r="C10">
        <v>897360</v>
      </c>
      <c r="F10">
        <f>VLOOKUP(A8,A1:D11,3,FALSE)</f>
        <v>897358</v>
      </c>
      <c r="H10">
        <f>HLOOKUP(T3,L3:V5,3,FALSE)</f>
        <v>897359</v>
      </c>
      <c r="J10">
        <f>INDEX(L3:V5,3,2)</f>
        <v>897352</v>
      </c>
      <c r="L10">
        <f>MATCH(N3,L3:V3,0)</f>
        <v>3</v>
      </c>
      <c r="Q10" t="s">
        <v>21</v>
      </c>
      <c r="R10" t="s">
        <v>22</v>
      </c>
      <c r="S10" t="s">
        <v>23</v>
      </c>
      <c r="T10">
        <v>50</v>
      </c>
      <c r="V10" s="3" t="s">
        <v>29</v>
      </c>
      <c r="X10" s="1" t="s">
        <v>30</v>
      </c>
      <c r="Z10" s="5" t="s">
        <v>32</v>
      </c>
    </row>
    <row r="11" spans="1:28" x14ac:dyDescent="0.25">
      <c r="A11">
        <v>110</v>
      </c>
      <c r="B11" t="s">
        <v>12</v>
      </c>
      <c r="C11">
        <v>897361</v>
      </c>
      <c r="J11" t="str">
        <f>INDEX(L3:V5,3,1)</f>
        <v>SALARY</v>
      </c>
      <c r="L11">
        <f>MATCH(R4,L4:V4,0)</f>
        <v>7</v>
      </c>
      <c r="Q11" t="s">
        <v>24</v>
      </c>
      <c r="R11" t="s">
        <v>25</v>
      </c>
      <c r="S11" t="s">
        <v>26</v>
      </c>
      <c r="T11">
        <v>60</v>
      </c>
      <c r="V11">
        <f>FIND("P",Q11)</f>
        <v>1</v>
      </c>
      <c r="X11" t="str">
        <f>REPLACE(R13,1,3,"456")</f>
        <v>456E</v>
      </c>
      <c r="Z11" t="str">
        <f>SUBSTITUTE("REETHU VEERA","REETHU","SSS")</f>
        <v>SSS VEERA</v>
      </c>
    </row>
    <row r="12" spans="1:28" ht="15.75" thickBot="1" x14ac:dyDescent="0.3">
      <c r="D12" s="8"/>
      <c r="Q12" t="s">
        <v>27</v>
      </c>
      <c r="R12" t="s">
        <v>22</v>
      </c>
      <c r="S12" t="s">
        <v>23</v>
      </c>
      <c r="T12">
        <v>100</v>
      </c>
    </row>
    <row r="13" spans="1:28" ht="16.5" thickTop="1" thickBot="1" x14ac:dyDescent="0.3">
      <c r="Q13" t="s">
        <v>21</v>
      </c>
      <c r="R13" t="s">
        <v>22</v>
      </c>
      <c r="S13" t="s">
        <v>23</v>
      </c>
      <c r="T13">
        <v>70</v>
      </c>
      <c r="V13" s="1" t="s">
        <v>33</v>
      </c>
      <c r="X13" s="2" t="s">
        <v>34</v>
      </c>
      <c r="Z13" s="6" t="s">
        <v>35</v>
      </c>
    </row>
    <row r="14" spans="1:28" ht="15.75" thickTop="1" x14ac:dyDescent="0.25">
      <c r="Q14" t="s">
        <v>24</v>
      </c>
      <c r="R14" t="s">
        <v>25</v>
      </c>
      <c r="S14" t="s">
        <v>26</v>
      </c>
      <c r="T14">
        <v>100</v>
      </c>
      <c r="V14" t="str">
        <f>MID("REETHUVEERA",2,4)</f>
        <v>EETH</v>
      </c>
      <c r="X14">
        <f>SEARCH("VEERA","REETHU VEERA")</f>
        <v>8</v>
      </c>
      <c r="Z14" t="str">
        <f>_xlfn.CONCAT(Q12,R12)</f>
        <v>BOOKBLUE</v>
      </c>
    </row>
    <row r="15" spans="1:28" x14ac:dyDescent="0.25">
      <c r="H15" s="9"/>
      <c r="S15" s="2" t="s">
        <v>28</v>
      </c>
      <c r="T15">
        <f>SUM(T10:T14)</f>
        <v>380</v>
      </c>
    </row>
    <row r="16" spans="1:28" x14ac:dyDescent="0.25">
      <c r="S16" s="1" t="s">
        <v>39</v>
      </c>
      <c r="T16">
        <f>LEN("HGFDE")</f>
        <v>5</v>
      </c>
      <c r="V16" s="7" t="s">
        <v>17</v>
      </c>
      <c r="X16" s="3" t="s">
        <v>36</v>
      </c>
      <c r="Z16" s="1" t="s">
        <v>37</v>
      </c>
      <c r="AB16" t="s">
        <v>38</v>
      </c>
    </row>
    <row r="17" spans="4:28" x14ac:dyDescent="0.25">
      <c r="S17" s="2" t="s">
        <v>40</v>
      </c>
      <c r="T17">
        <f>MEDIAN(T10:T15)</f>
        <v>85</v>
      </c>
      <c r="V17" s="5">
        <f>PRODUCT(T11,T12)</f>
        <v>6000</v>
      </c>
      <c r="X17">
        <f>FACT(5)</f>
        <v>120</v>
      </c>
      <c r="Z17">
        <f>ROUND(87.5211,2)</f>
        <v>87.52</v>
      </c>
      <c r="AB17">
        <f>MOD(9,2)</f>
        <v>1</v>
      </c>
    </row>
    <row r="18" spans="4:28" x14ac:dyDescent="0.25">
      <c r="S18" s="3" t="s">
        <v>41</v>
      </c>
      <c r="T18">
        <f>RANK(50,T10:T14)</f>
        <v>5</v>
      </c>
    </row>
    <row r="19" spans="4:28" ht="15.75" thickBot="1" x14ac:dyDescent="0.3">
      <c r="S19" s="1" t="s">
        <v>42</v>
      </c>
      <c r="T19" t="str">
        <f>LEFT(Z14,3)</f>
        <v>BOO</v>
      </c>
    </row>
    <row r="20" spans="4:28" ht="16.5" thickTop="1" thickBot="1" x14ac:dyDescent="0.3">
      <c r="S20" s="6" t="s">
        <v>43</v>
      </c>
      <c r="T20" t="str">
        <f>RIGHT(Z14,3)</f>
        <v>LUE</v>
      </c>
    </row>
    <row r="21" spans="4:28" ht="15.75" thickTop="1" x14ac:dyDescent="0.25">
      <c r="G21" s="3" t="s">
        <v>51</v>
      </c>
      <c r="H21" s="2"/>
      <c r="I21" s="1"/>
    </row>
    <row r="22" spans="4:28" x14ac:dyDescent="0.25">
      <c r="S22" s="3" t="s">
        <v>44</v>
      </c>
      <c r="T22" s="3"/>
      <c r="U22" s="3"/>
    </row>
    <row r="23" spans="4:28" x14ac:dyDescent="0.25">
      <c r="D23" s="2" t="s">
        <v>19</v>
      </c>
      <c r="E23" s="4" t="s">
        <v>57</v>
      </c>
      <c r="F23" s="3" t="s">
        <v>58</v>
      </c>
      <c r="G23" s="5" t="s">
        <v>52</v>
      </c>
      <c r="H23" s="2" t="s">
        <v>53</v>
      </c>
      <c r="I23" s="10" t="s">
        <v>54</v>
      </c>
      <c r="J23" s="12" t="s">
        <v>55</v>
      </c>
      <c r="K23" s="11" t="s">
        <v>56</v>
      </c>
      <c r="L23" s="13" t="s">
        <v>61</v>
      </c>
      <c r="M23" s="14" t="s">
        <v>62</v>
      </c>
      <c r="R23" s="10" t="s">
        <v>45</v>
      </c>
      <c r="S23">
        <f>SUMIF(R10:R14,R13,T10:T14)</f>
        <v>220</v>
      </c>
    </row>
    <row r="24" spans="4:28" x14ac:dyDescent="0.25">
      <c r="D24" t="s">
        <v>23</v>
      </c>
      <c r="E24">
        <v>12</v>
      </c>
      <c r="F24" t="s">
        <v>59</v>
      </c>
      <c r="G24" t="str">
        <f>IF(E24&gt;18,"MAJOR","MINOR")</f>
        <v>MINOR</v>
      </c>
      <c r="H24" t="str">
        <f>IF(E24&gt;18,"MAJOR",IF(E24&lt;218,"MINOR",IF(E24&gt;60,"OLD AGE")))</f>
        <v>MINOR</v>
      </c>
      <c r="I24" t="b">
        <f>AND(E24&gt;18,E24&lt;90)</f>
        <v>0</v>
      </c>
      <c r="J24" t="b">
        <f>OR(E24&gt;18,E24&lt;90)</f>
        <v>1</v>
      </c>
      <c r="K24" t="b">
        <f>NOT(E24&gt;18)</f>
        <v>1</v>
      </c>
      <c r="L24" t="b">
        <f>_xlfn.XOR(E24&gt;18,E24&lt;90)</f>
        <v>1</v>
      </c>
      <c r="M24" t="str">
        <f>IF(H24="MINOR","CANNOT VOTE","CAN VOTE")</f>
        <v>CANNOT VOTE</v>
      </c>
      <c r="R24" s="2" t="s">
        <v>46</v>
      </c>
      <c r="S24">
        <f>SUMIFS(T10:T14,R10:R14,R12,S10:S14,S12)</f>
        <v>220</v>
      </c>
      <c r="X24" s="1" t="s">
        <v>50</v>
      </c>
      <c r="Z24" s="3" t="s">
        <v>88</v>
      </c>
    </row>
    <row r="25" spans="4:28" x14ac:dyDescent="0.25">
      <c r="D25" t="s">
        <v>26</v>
      </c>
      <c r="E25">
        <v>26</v>
      </c>
      <c r="F25" t="s">
        <v>60</v>
      </c>
      <c r="G25" t="str">
        <f t="shared" ref="G25:G28" si="0">IF(E25&gt;18,"MAJOR","MINOR")</f>
        <v>MAJOR</v>
      </c>
      <c r="H25" t="str">
        <f t="shared" ref="H25:H26" si="1">IF(E25&gt;18,"MAJOR",IF(E25&lt;218,"MINOR",IF(E25&gt;60,"OLD AGE")))</f>
        <v>MAJOR</v>
      </c>
      <c r="I25" t="b">
        <f t="shared" ref="I25:I28" si="2">AND(E25&gt;18,E25&lt;90)</f>
        <v>1</v>
      </c>
      <c r="J25" t="b">
        <f t="shared" ref="J25:J28" si="3">OR(E25&gt;18,E25&lt;90)</f>
        <v>1</v>
      </c>
      <c r="K25" t="b">
        <f t="shared" ref="K25:K28" si="4">NOT(E25&gt;18)</f>
        <v>0</v>
      </c>
      <c r="L25" t="b">
        <f t="shared" ref="L25:L28" si="5">_xlfn.XOR(E25&gt;18,E25&lt;90)</f>
        <v>0</v>
      </c>
      <c r="M25" t="str">
        <f t="shared" ref="M25:M28" si="6">IF(H25="MINOR","CANNOT VOTE","CAN VOTE")</f>
        <v>CAN VOTE</v>
      </c>
      <c r="R25" s="26" t="s">
        <v>47</v>
      </c>
      <c r="S25">
        <f>AVERAGE(T10:T14)</f>
        <v>76</v>
      </c>
      <c r="X25" s="8">
        <f ca="1">TODAY()</f>
        <v>46179</v>
      </c>
      <c r="Z25">
        <f ca="1">EOMONTH(TODAY(),2)</f>
        <v>46265</v>
      </c>
    </row>
    <row r="26" spans="4:28" x14ac:dyDescent="0.25">
      <c r="D26" t="s">
        <v>23</v>
      </c>
      <c r="E26">
        <v>16</v>
      </c>
      <c r="F26" t="s">
        <v>59</v>
      </c>
      <c r="G26" t="str">
        <f t="shared" si="0"/>
        <v>MINOR</v>
      </c>
      <c r="H26" t="str">
        <f t="shared" si="1"/>
        <v>MINOR</v>
      </c>
      <c r="I26" t="b">
        <f t="shared" si="2"/>
        <v>0</v>
      </c>
      <c r="J26" t="b">
        <f t="shared" si="3"/>
        <v>1</v>
      </c>
      <c r="K26" t="b">
        <f t="shared" si="4"/>
        <v>1</v>
      </c>
      <c r="L26" t="b">
        <f t="shared" si="5"/>
        <v>1</v>
      </c>
      <c r="M26" t="str">
        <f t="shared" si="6"/>
        <v>CANNOT VOTE</v>
      </c>
      <c r="R26" s="30" t="s">
        <v>48</v>
      </c>
      <c r="S26">
        <f>AVERAGEIF(R10:R14,R12,T10:T14)</f>
        <v>73.333333333333329</v>
      </c>
    </row>
    <row r="27" spans="4:28" x14ac:dyDescent="0.25">
      <c r="D27" t="s">
        <v>23</v>
      </c>
      <c r="E27">
        <v>78</v>
      </c>
      <c r="F27" t="s">
        <v>60</v>
      </c>
      <c r="G27" t="str">
        <f t="shared" si="0"/>
        <v>MAJOR</v>
      </c>
      <c r="H27" t="str">
        <f>IF(E27&gt;18,"MAJOR",IF(E27&lt;218,"MINOR",IF(E27&gt;H2169,"OLD AGE")))</f>
        <v>MAJOR</v>
      </c>
      <c r="I27" t="b">
        <f t="shared" si="2"/>
        <v>1</v>
      </c>
      <c r="J27" t="b">
        <f t="shared" si="3"/>
        <v>1</v>
      </c>
      <c r="K27" t="b">
        <f t="shared" si="4"/>
        <v>0</v>
      </c>
      <c r="L27" t="b">
        <f t="shared" si="5"/>
        <v>0</v>
      </c>
      <c r="M27" t="str">
        <f t="shared" si="6"/>
        <v>CAN VOTE</v>
      </c>
      <c r="R27" s="33" t="s">
        <v>49</v>
      </c>
      <c r="S27">
        <f>AVERAGEIFS(T10:T14,R10:R14,R12,S10:S14,S12)</f>
        <v>73.333333333333329</v>
      </c>
      <c r="X27" s="2" t="s">
        <v>89</v>
      </c>
      <c r="Y27" s="2"/>
      <c r="Z27" s="4" t="s">
        <v>90</v>
      </c>
    </row>
    <row r="28" spans="4:28" x14ac:dyDescent="0.25">
      <c r="D28" t="s">
        <v>26</v>
      </c>
      <c r="E28">
        <v>2</v>
      </c>
      <c r="F28" t="s">
        <v>59</v>
      </c>
      <c r="G28" t="str">
        <f t="shared" si="0"/>
        <v>MINOR</v>
      </c>
      <c r="H28" t="str">
        <f t="shared" ref="H28" si="7">IF(E28&gt;18,"MAJOR",IF(E28&lt;218,"MINOR",IF(E28&gt;60,"OLD AGE")))</f>
        <v>MINOR</v>
      </c>
      <c r="I28" t="b">
        <f t="shared" si="2"/>
        <v>0</v>
      </c>
      <c r="J28" t="b">
        <f t="shared" si="3"/>
        <v>1</v>
      </c>
      <c r="K28" t="b">
        <f t="shared" si="4"/>
        <v>1</v>
      </c>
      <c r="L28" t="b">
        <f t="shared" si="5"/>
        <v>1</v>
      </c>
      <c r="M28" t="str">
        <f t="shared" si="6"/>
        <v>CANNOT VOTE</v>
      </c>
      <c r="S28" t="str">
        <f>MID("REETHU",1,3)</f>
        <v>REE</v>
      </c>
      <c r="X28">
        <f ca="1">NETWORKDAYS(TODAY(),TODAY(),1)</f>
        <v>0</v>
      </c>
      <c r="Z28">
        <f ca="1">WEEKDAY(TODAY(),2)</f>
        <v>6</v>
      </c>
    </row>
    <row r="31" spans="4:28" ht="15.75" thickBot="1" x14ac:dyDescent="0.3"/>
    <row r="32" spans="4:28" ht="15.75" thickBot="1" x14ac:dyDescent="0.3">
      <c r="E32" s="15"/>
      <c r="F32" s="15"/>
      <c r="G32" s="15"/>
      <c r="H32" s="16"/>
      <c r="I32" s="15"/>
      <c r="J32" s="15"/>
      <c r="K32" s="15"/>
      <c r="L32" s="1" t="s">
        <v>63</v>
      </c>
      <c r="M32" s="2"/>
      <c r="N32" s="23"/>
    </row>
    <row r="33" spans="1:33" ht="15.75" thickBot="1" x14ac:dyDescent="0.3">
      <c r="E33" s="15"/>
      <c r="F33" s="15"/>
      <c r="G33" s="15"/>
      <c r="H33" s="15"/>
      <c r="I33" s="15"/>
      <c r="J33" s="15"/>
      <c r="K33" s="15"/>
    </row>
    <row r="34" spans="1:33" ht="16.5" thickTop="1" thickBot="1" x14ac:dyDescent="0.3">
      <c r="E34" s="18" t="s">
        <v>64</v>
      </c>
      <c r="F34" s="19" t="s">
        <v>1</v>
      </c>
      <c r="G34" s="20" t="s">
        <v>57</v>
      </c>
      <c r="H34" s="21" t="s">
        <v>65</v>
      </c>
      <c r="I34" s="22" t="s">
        <v>66</v>
      </c>
      <c r="J34" s="15"/>
      <c r="K34" s="15"/>
    </row>
    <row r="35" spans="1:33" x14ac:dyDescent="0.25">
      <c r="E35" t="s">
        <v>78</v>
      </c>
      <c r="F35" t="s">
        <v>79</v>
      </c>
      <c r="G35" t="s">
        <v>80</v>
      </c>
      <c r="H35" t="s">
        <v>81</v>
      </c>
      <c r="I35" t="s">
        <v>82</v>
      </c>
      <c r="L35" s="4" t="s">
        <v>67</v>
      </c>
      <c r="M35" s="11" t="s">
        <v>68</v>
      </c>
      <c r="N35" s="24" t="s">
        <v>69</v>
      </c>
      <c r="O35" s="24"/>
      <c r="P35" s="25" t="s">
        <v>70</v>
      </c>
      <c r="Q35" s="26" t="s">
        <v>71</v>
      </c>
      <c r="R35" s="27" t="s">
        <v>72</v>
      </c>
      <c r="S35" s="28" t="s">
        <v>40</v>
      </c>
      <c r="T35" s="29" t="s">
        <v>73</v>
      </c>
      <c r="U35" s="30" t="s">
        <v>74</v>
      </c>
      <c r="V35" s="24" t="s">
        <v>75</v>
      </c>
      <c r="W35" s="31" t="s">
        <v>76</v>
      </c>
      <c r="X35" s="3" t="s">
        <v>77</v>
      </c>
      <c r="Y35" s="2" t="s">
        <v>83</v>
      </c>
      <c r="Z35" s="2"/>
      <c r="AF35" s="1" t="s">
        <v>176</v>
      </c>
    </row>
    <row r="36" spans="1:33" x14ac:dyDescent="0.25">
      <c r="E36">
        <v>1</v>
      </c>
      <c r="F36" t="s">
        <v>3</v>
      </c>
      <c r="G36">
        <v>23</v>
      </c>
      <c r="H36">
        <v>0</v>
      </c>
      <c r="I36">
        <v>32.75</v>
      </c>
      <c r="L36">
        <f>COUNT(E36:E44)</f>
        <v>9</v>
      </c>
      <c r="M36">
        <f>COUNTA(G34:I44)</f>
        <v>33</v>
      </c>
      <c r="N36">
        <f>COUNTBLANK(E36:E47)</f>
        <v>3</v>
      </c>
      <c r="P36">
        <f>COUNTIF(G36:G44,"&gt;50")</f>
        <v>3</v>
      </c>
      <c r="Q36">
        <f>COUNTIFS(G36:G44,"&gt;50",I36:I44,"&gt;40")</f>
        <v>2</v>
      </c>
      <c r="R36">
        <f>GEOMEAN(E36:E44)</f>
        <v>4.1471662743969127</v>
      </c>
      <c r="S36">
        <f>MEDIAN(E36:E40)</f>
        <v>3</v>
      </c>
      <c r="T36">
        <f>_xlfn.MODE.SNGL(1,12,11,1)</f>
        <v>1</v>
      </c>
      <c r="U36">
        <f>_xlfn.STDEV.S(G36:G44)</f>
        <v>21.403530342238202</v>
      </c>
      <c r="V36">
        <f>_xlfn.VAR.S(G36:G44)</f>
        <v>458.11111111111131</v>
      </c>
      <c r="W36">
        <f>_xlfn.STDEV.P(E36:I44)</f>
        <v>32.086595271065448</v>
      </c>
      <c r="X36">
        <f>_xlfn.VAR.P(E36:I44)</f>
        <v>1029.5495960891594</v>
      </c>
      <c r="Y36">
        <f>CORREL(Table1[Column4],Table1[Column5])</f>
        <v>0.44249037274260661</v>
      </c>
      <c r="AE36" t="s">
        <v>177</v>
      </c>
      <c r="AF36" t="s">
        <v>176</v>
      </c>
      <c r="AG36" t="s">
        <v>178</v>
      </c>
    </row>
    <row r="37" spans="1:33" x14ac:dyDescent="0.25">
      <c r="E37">
        <v>2</v>
      </c>
      <c r="F37" t="s">
        <v>4</v>
      </c>
      <c r="G37">
        <v>34</v>
      </c>
      <c r="H37">
        <v>83.452299999999994</v>
      </c>
      <c r="I37">
        <v>31.8765</v>
      </c>
      <c r="L37">
        <f>COUNT(E34:E44)</f>
        <v>9</v>
      </c>
      <c r="M37">
        <f>COUNTA(E34:E44)</f>
        <v>11</v>
      </c>
      <c r="R37">
        <f>GEOMEAN(E36:E38)</f>
        <v>1.8171205928321397</v>
      </c>
      <c r="S37">
        <f>MEDIAN(G36:G44)</f>
        <v>45</v>
      </c>
      <c r="Y37">
        <f>CORREL(Table1[Column1],Table1[Column3])</f>
        <v>0.30495096085726808</v>
      </c>
      <c r="AE37">
        <v>1</v>
      </c>
      <c r="AF37" s="62" t="s">
        <v>179</v>
      </c>
      <c r="AG37">
        <v>8763987</v>
      </c>
    </row>
    <row r="38" spans="1:33" x14ac:dyDescent="0.25">
      <c r="E38">
        <v>3</v>
      </c>
      <c r="F38" s="17" t="s">
        <v>5</v>
      </c>
      <c r="G38">
        <v>45</v>
      </c>
      <c r="H38">
        <v>55.411999999999999</v>
      </c>
      <c r="I38">
        <v>98.543000000000006</v>
      </c>
      <c r="AE38">
        <v>2</v>
      </c>
      <c r="AF38" t="s">
        <v>180</v>
      </c>
      <c r="AG38">
        <v>32864782</v>
      </c>
    </row>
    <row r="39" spans="1:33" x14ac:dyDescent="0.25">
      <c r="E39">
        <v>4</v>
      </c>
      <c r="F39" s="17" t="s">
        <v>6</v>
      </c>
      <c r="G39">
        <v>76</v>
      </c>
      <c r="H39">
        <v>67.776499999999999</v>
      </c>
      <c r="I39">
        <v>32.784999999999997</v>
      </c>
      <c r="L39" s="30" t="s">
        <v>84</v>
      </c>
      <c r="M39" s="30" t="s">
        <v>85</v>
      </c>
      <c r="N39" s="30" t="s">
        <v>73</v>
      </c>
      <c r="AE39">
        <v>3</v>
      </c>
      <c r="AF39" t="s">
        <v>181</v>
      </c>
      <c r="AG39">
        <v>43645</v>
      </c>
    </row>
    <row r="40" spans="1:33" x14ac:dyDescent="0.25">
      <c r="E40">
        <v>5</v>
      </c>
      <c r="F40" s="17" t="s">
        <v>7</v>
      </c>
      <c r="G40">
        <v>87</v>
      </c>
      <c r="H40">
        <v>64.152000000000001</v>
      </c>
      <c r="I40">
        <v>78.561000000000007</v>
      </c>
      <c r="L40" s="61" t="s">
        <v>86</v>
      </c>
      <c r="M40">
        <v>0</v>
      </c>
      <c r="N40">
        <f>MODE(M40:M44)</f>
        <v>1</v>
      </c>
    </row>
    <row r="41" spans="1:33" x14ac:dyDescent="0.25">
      <c r="E41">
        <v>6</v>
      </c>
      <c r="F41" s="17" t="s">
        <v>8</v>
      </c>
      <c r="G41">
        <v>44</v>
      </c>
      <c r="H41">
        <v>12.227</v>
      </c>
      <c r="I41">
        <v>32.875999999999998</v>
      </c>
      <c r="L41" s="61" t="s">
        <v>87</v>
      </c>
      <c r="M41">
        <v>1</v>
      </c>
      <c r="N41" cm="1">
        <f t="array" ref="N41">_xlfn.MODE.MULT(M40:M44)</f>
        <v>1</v>
      </c>
    </row>
    <row r="42" spans="1:33" x14ac:dyDescent="0.25">
      <c r="E42">
        <v>7</v>
      </c>
      <c r="F42" s="17" t="s">
        <v>9</v>
      </c>
      <c r="G42">
        <v>32</v>
      </c>
      <c r="H42">
        <v>97.861000000000004</v>
      </c>
      <c r="I42">
        <v>87.653999999999996</v>
      </c>
      <c r="L42" s="61" t="s">
        <v>86</v>
      </c>
      <c r="M42">
        <v>0</v>
      </c>
      <c r="N42">
        <f>_xlfn.MODE.SNGL(M40:M44)</f>
        <v>1</v>
      </c>
    </row>
    <row r="43" spans="1:33" x14ac:dyDescent="0.25">
      <c r="E43">
        <v>8</v>
      </c>
      <c r="F43" s="17" t="s">
        <v>10</v>
      </c>
      <c r="G43">
        <v>45</v>
      </c>
      <c r="H43">
        <v>68.432000000000002</v>
      </c>
      <c r="I43">
        <v>54.896000000000001</v>
      </c>
      <c r="L43" s="61" t="s">
        <v>87</v>
      </c>
      <c r="M43">
        <v>1</v>
      </c>
    </row>
    <row r="44" spans="1:33" x14ac:dyDescent="0.25">
      <c r="E44">
        <v>9</v>
      </c>
      <c r="F44" s="17" t="s">
        <v>11</v>
      </c>
      <c r="G44">
        <v>65</v>
      </c>
      <c r="H44">
        <v>98.820999999999998</v>
      </c>
      <c r="I44">
        <v>66.477999999999994</v>
      </c>
      <c r="L44" s="61" t="s">
        <v>87</v>
      </c>
      <c r="M44">
        <v>1</v>
      </c>
    </row>
    <row r="47" spans="1:33" ht="20.25" thickBot="1" x14ac:dyDescent="0.35">
      <c r="H47" s="108" t="s">
        <v>168</v>
      </c>
      <c r="I47" s="108" t="s">
        <v>91</v>
      </c>
      <c r="J47" s="108"/>
    </row>
    <row r="48" spans="1:33" ht="15.75" thickTop="1" x14ac:dyDescent="0.25">
      <c r="A48" s="36" t="s">
        <v>92</v>
      </c>
      <c r="B48" s="37" t="s">
        <v>93</v>
      </c>
      <c r="C48" s="37" t="s">
        <v>94</v>
      </c>
      <c r="D48" s="37" t="s">
        <v>95</v>
      </c>
      <c r="E48" s="37" t="s">
        <v>96</v>
      </c>
      <c r="F48" s="37" t="s">
        <v>97</v>
      </c>
      <c r="G48" s="37" t="s">
        <v>98</v>
      </c>
      <c r="H48" s="37" t="s">
        <v>99</v>
      </c>
      <c r="I48" s="37" t="s">
        <v>100</v>
      </c>
      <c r="J48" s="37" t="s">
        <v>101</v>
      </c>
      <c r="K48" s="37" t="s">
        <v>102</v>
      </c>
      <c r="L48" s="37" t="s">
        <v>103</v>
      </c>
      <c r="M48" s="37" t="s">
        <v>104</v>
      </c>
      <c r="N48" s="37"/>
      <c r="O48" s="38" t="s">
        <v>50</v>
      </c>
    </row>
    <row r="49" spans="1:42" x14ac:dyDescent="0.25">
      <c r="A49" s="63">
        <v>1</v>
      </c>
      <c r="B49" s="64">
        <v>0</v>
      </c>
      <c r="C49" s="65" t="s">
        <v>105</v>
      </c>
      <c r="D49" s="66">
        <v>619</v>
      </c>
      <c r="E49" s="67" t="s">
        <v>106</v>
      </c>
      <c r="F49" s="68" t="s">
        <v>107</v>
      </c>
      <c r="G49" s="85">
        <v>42</v>
      </c>
      <c r="H49" s="87">
        <v>2</v>
      </c>
      <c r="I49" s="69">
        <v>0</v>
      </c>
      <c r="J49" s="70">
        <v>1</v>
      </c>
      <c r="K49" s="71">
        <v>1</v>
      </c>
      <c r="L49" s="89">
        <v>1</v>
      </c>
      <c r="M49" s="72">
        <v>101348.88</v>
      </c>
      <c r="N49" s="65"/>
      <c r="O49" s="73">
        <v>45780</v>
      </c>
      <c r="R49" t="s">
        <v>237</v>
      </c>
    </row>
    <row r="50" spans="1:42" x14ac:dyDescent="0.25">
      <c r="A50" s="63">
        <v>2</v>
      </c>
      <c r="B50" s="64">
        <v>-1</v>
      </c>
      <c r="C50" s="65" t="s">
        <v>108</v>
      </c>
      <c r="D50" s="66">
        <v>608</v>
      </c>
      <c r="E50" s="67" t="s">
        <v>109</v>
      </c>
      <c r="F50" s="68" t="s">
        <v>107</v>
      </c>
      <c r="G50" s="85">
        <v>41</v>
      </c>
      <c r="H50" s="87">
        <v>1</v>
      </c>
      <c r="I50" s="69">
        <v>83807.86</v>
      </c>
      <c r="J50" s="70">
        <v>0</v>
      </c>
      <c r="K50" s="71">
        <v>0</v>
      </c>
      <c r="L50" s="89">
        <v>1</v>
      </c>
      <c r="M50" s="72">
        <v>112542.58</v>
      </c>
      <c r="N50" s="65"/>
      <c r="O50" s="73">
        <f ca="1">TODAY()</f>
        <v>46179</v>
      </c>
    </row>
    <row r="51" spans="1:42" x14ac:dyDescent="0.25">
      <c r="A51" s="63">
        <v>3</v>
      </c>
      <c r="B51" s="64">
        <v>15619304</v>
      </c>
      <c r="C51" s="65" t="s">
        <v>110</v>
      </c>
      <c r="D51" s="66">
        <v>502</v>
      </c>
      <c r="E51" s="67" t="s">
        <v>106</v>
      </c>
      <c r="F51" s="68" t="s">
        <v>107</v>
      </c>
      <c r="G51" s="85">
        <v>42</v>
      </c>
      <c r="H51" s="87">
        <v>8</v>
      </c>
      <c r="I51" s="69">
        <v>159660.79999999999</v>
      </c>
      <c r="J51" s="70">
        <v>-1</v>
      </c>
      <c r="K51" s="71">
        <v>1</v>
      </c>
      <c r="L51" s="89">
        <v>0</v>
      </c>
      <c r="M51" s="72">
        <v>113931.57</v>
      </c>
      <c r="N51" s="65"/>
      <c r="O51" s="73">
        <v>46178</v>
      </c>
    </row>
    <row r="52" spans="1:42" x14ac:dyDescent="0.25">
      <c r="A52" s="63">
        <v>4</v>
      </c>
      <c r="B52" s="64">
        <v>15701354</v>
      </c>
      <c r="C52" s="65" t="s">
        <v>111</v>
      </c>
      <c r="D52" s="66">
        <v>699</v>
      </c>
      <c r="E52" s="67" t="s">
        <v>106</v>
      </c>
      <c r="F52" s="68" t="s">
        <v>107</v>
      </c>
      <c r="G52" s="85">
        <v>39</v>
      </c>
      <c r="H52" s="87">
        <v>1</v>
      </c>
      <c r="I52" s="69">
        <v>0</v>
      </c>
      <c r="J52" s="70">
        <v>-1</v>
      </c>
      <c r="K52" s="71">
        <v>0</v>
      </c>
      <c r="L52" s="89">
        <v>0</v>
      </c>
      <c r="M52" s="72">
        <v>93826.63</v>
      </c>
      <c r="N52" s="91">
        <v>-678</v>
      </c>
      <c r="O52" s="73">
        <f t="shared" ref="O52" ca="1" si="8">TODAY()</f>
        <v>46179</v>
      </c>
    </row>
    <row r="53" spans="1:42" x14ac:dyDescent="0.25">
      <c r="A53" s="63">
        <v>5</v>
      </c>
      <c r="B53" s="64">
        <v>15737888</v>
      </c>
      <c r="C53" s="65" t="s">
        <v>112</v>
      </c>
      <c r="D53" s="66">
        <v>850</v>
      </c>
      <c r="E53" s="67" t="s">
        <v>109</v>
      </c>
      <c r="F53" s="68" t="s">
        <v>107</v>
      </c>
      <c r="G53" s="85">
        <v>43</v>
      </c>
      <c r="H53" s="87">
        <v>2</v>
      </c>
      <c r="I53" s="69">
        <v>125510.82</v>
      </c>
      <c r="J53" s="70">
        <v>1</v>
      </c>
      <c r="K53" s="71">
        <v>1</v>
      </c>
      <c r="L53" s="89">
        <v>1</v>
      </c>
      <c r="M53" s="72">
        <v>79084.100000000006</v>
      </c>
      <c r="N53" s="91">
        <v>57</v>
      </c>
      <c r="O53" s="73">
        <v>46179</v>
      </c>
    </row>
    <row r="54" spans="1:42" ht="20.25" thickBot="1" x14ac:dyDescent="0.35">
      <c r="A54" s="63">
        <v>6</v>
      </c>
      <c r="B54" s="64">
        <v>-7675</v>
      </c>
      <c r="C54" s="65" t="s">
        <v>113</v>
      </c>
      <c r="D54" s="66">
        <v>645</v>
      </c>
      <c r="E54" s="67" t="s">
        <v>109</v>
      </c>
      <c r="F54" s="68" t="s">
        <v>114</v>
      </c>
      <c r="G54" s="85">
        <v>44</v>
      </c>
      <c r="H54" s="87">
        <v>8</v>
      </c>
      <c r="I54" s="69">
        <v>113755.78</v>
      </c>
      <c r="J54" s="70">
        <v>2</v>
      </c>
      <c r="K54" s="71">
        <v>1</v>
      </c>
      <c r="L54" s="89">
        <v>-7</v>
      </c>
      <c r="M54" s="72">
        <v>149756.71</v>
      </c>
      <c r="N54" s="91"/>
      <c r="O54" s="73">
        <f t="shared" ref="O54" ca="1" si="9">TODAY()</f>
        <v>46179</v>
      </c>
      <c r="S54" s="108" t="s">
        <v>169</v>
      </c>
      <c r="T54" s="108"/>
      <c r="U54" s="3"/>
    </row>
    <row r="55" spans="1:42" ht="15.75" thickTop="1" x14ac:dyDescent="0.25">
      <c r="A55" s="63">
        <v>7</v>
      </c>
      <c r="B55" s="64">
        <v>15592531</v>
      </c>
      <c r="C55" s="65" t="s">
        <v>115</v>
      </c>
      <c r="D55" s="66">
        <v>822</v>
      </c>
      <c r="E55" s="67" t="s">
        <v>106</v>
      </c>
      <c r="F55" s="68" t="s">
        <v>114</v>
      </c>
      <c r="G55" s="85">
        <v>50</v>
      </c>
      <c r="H55" s="87">
        <v>7</v>
      </c>
      <c r="I55" s="69">
        <v>0</v>
      </c>
      <c r="J55" s="70">
        <v>-1</v>
      </c>
      <c r="K55" s="71">
        <v>1</v>
      </c>
      <c r="L55" s="89">
        <v>-987</v>
      </c>
      <c r="M55" s="72">
        <v>10062.799999999999</v>
      </c>
      <c r="N55" s="65"/>
      <c r="O55" s="73">
        <v>46180</v>
      </c>
    </row>
    <row r="56" spans="1:42" x14ac:dyDescent="0.25">
      <c r="A56" s="63">
        <v>8</v>
      </c>
      <c r="B56" s="64">
        <v>15656148</v>
      </c>
      <c r="C56" s="65" t="s">
        <v>116</v>
      </c>
      <c r="D56" s="66">
        <v>376</v>
      </c>
      <c r="E56" s="67" t="s">
        <v>117</v>
      </c>
      <c r="F56" s="68" t="s">
        <v>107</v>
      </c>
      <c r="G56" s="85">
        <v>29</v>
      </c>
      <c r="H56" s="87">
        <v>4</v>
      </c>
      <c r="I56" s="69">
        <v>115046.74</v>
      </c>
      <c r="J56" s="70">
        <v>4</v>
      </c>
      <c r="K56" s="71">
        <v>1</v>
      </c>
      <c r="L56" s="89">
        <v>0</v>
      </c>
      <c r="M56" s="72">
        <v>119346.88</v>
      </c>
      <c r="N56" s="65"/>
      <c r="O56" s="73">
        <f t="shared" ref="O56" ca="1" si="10">TODAY()</f>
        <v>46179</v>
      </c>
      <c r="Q56" s="54" t="s">
        <v>133</v>
      </c>
      <c r="R56" s="55">
        <v>0</v>
      </c>
      <c r="S56" s="39">
        <v>0</v>
      </c>
      <c r="T56" s="56" t="s">
        <v>134</v>
      </c>
      <c r="U56" s="39">
        <v>0</v>
      </c>
      <c r="V56" s="56" t="s">
        <v>136</v>
      </c>
      <c r="W56" s="57" t="s">
        <v>135</v>
      </c>
      <c r="AD56" s="33" t="s">
        <v>137</v>
      </c>
      <c r="AE56" s="33"/>
      <c r="AF56" s="33"/>
      <c r="AM56" s="61" t="s">
        <v>154</v>
      </c>
      <c r="AN56" s="61"/>
    </row>
    <row r="57" spans="1:42" x14ac:dyDescent="0.25">
      <c r="A57" s="63">
        <v>9</v>
      </c>
      <c r="B57" s="64">
        <v>15792365</v>
      </c>
      <c r="C57" s="65" t="s">
        <v>118</v>
      </c>
      <c r="D57" s="66">
        <v>501</v>
      </c>
      <c r="E57" s="67" t="s">
        <v>106</v>
      </c>
      <c r="F57" s="68" t="s">
        <v>114</v>
      </c>
      <c r="G57" s="85">
        <v>44</v>
      </c>
      <c r="H57" s="87">
        <v>4</v>
      </c>
      <c r="I57" s="69">
        <v>142051.07</v>
      </c>
      <c r="J57" s="70">
        <v>2</v>
      </c>
      <c r="K57" s="71">
        <v>0</v>
      </c>
      <c r="L57" s="89">
        <v>1</v>
      </c>
      <c r="M57" s="72">
        <v>74940.5</v>
      </c>
      <c r="N57" s="65"/>
      <c r="O57" s="73">
        <v>46181</v>
      </c>
      <c r="Q57" s="40">
        <v>0.24</v>
      </c>
      <c r="R57" s="41">
        <v>0.24</v>
      </c>
      <c r="S57" s="42">
        <v>0.24</v>
      </c>
      <c r="T57" s="43">
        <v>0.24</v>
      </c>
      <c r="U57" s="44">
        <v>0.24</v>
      </c>
      <c r="V57" s="45">
        <v>0.24</v>
      </c>
      <c r="W57" s="46">
        <v>0.24</v>
      </c>
      <c r="AB57" s="58" t="s">
        <v>140</v>
      </c>
      <c r="AC57" s="58" t="s">
        <v>138</v>
      </c>
      <c r="AD57" s="58" t="s">
        <v>139</v>
      </c>
      <c r="AE57" s="58" t="s">
        <v>141</v>
      </c>
      <c r="AF57" s="58" t="s">
        <v>151</v>
      </c>
      <c r="AG57" s="58" t="s">
        <v>47</v>
      </c>
      <c r="AH57" s="59" t="s">
        <v>152</v>
      </c>
      <c r="AI57" s="59" t="s">
        <v>153</v>
      </c>
      <c r="AK57" t="s">
        <v>155</v>
      </c>
      <c r="AL57" t="s">
        <v>1</v>
      </c>
      <c r="AM57" t="s">
        <v>156</v>
      </c>
      <c r="AN57" t="s">
        <v>157</v>
      </c>
      <c r="AO57" t="s">
        <v>158</v>
      </c>
      <c r="AP57" t="s">
        <v>159</v>
      </c>
    </row>
    <row r="58" spans="1:42" x14ac:dyDescent="0.25">
      <c r="A58" s="63">
        <v>10</v>
      </c>
      <c r="B58" s="64">
        <v>15592389</v>
      </c>
      <c r="C58" s="65" t="s">
        <v>119</v>
      </c>
      <c r="D58" s="66">
        <v>684</v>
      </c>
      <c r="E58" s="67" t="s">
        <v>106</v>
      </c>
      <c r="F58" s="68" t="s">
        <v>114</v>
      </c>
      <c r="G58" s="85">
        <v>27</v>
      </c>
      <c r="H58" s="87">
        <v>2</v>
      </c>
      <c r="I58" s="69">
        <v>134603.88</v>
      </c>
      <c r="J58" s="70">
        <v>1</v>
      </c>
      <c r="K58" s="71">
        <v>1</v>
      </c>
      <c r="L58" s="89">
        <v>-786</v>
      </c>
      <c r="M58" s="72">
        <v>71725.73</v>
      </c>
      <c r="N58" s="65"/>
      <c r="O58" s="73">
        <f t="shared" ref="O58" ca="1" si="11">TODAY()</f>
        <v>46179</v>
      </c>
      <c r="Q58" s="40">
        <v>0.26</v>
      </c>
      <c r="R58" s="41">
        <v>0.26</v>
      </c>
      <c r="S58" s="42">
        <v>0.26</v>
      </c>
      <c r="T58" s="43">
        <v>0.26</v>
      </c>
      <c r="U58" s="44">
        <v>0.26</v>
      </c>
      <c r="V58" s="45">
        <v>0.26</v>
      </c>
      <c r="W58" s="46">
        <v>0.26</v>
      </c>
      <c r="AB58" s="60">
        <v>44312</v>
      </c>
      <c r="AC58" s="60">
        <v>43594</v>
      </c>
      <c r="AD58" s="60">
        <v>8967543</v>
      </c>
      <c r="AE58" s="60" t="s">
        <v>142</v>
      </c>
      <c r="AF58" s="60">
        <v>7254</v>
      </c>
      <c r="AG58" s="60">
        <v>7254</v>
      </c>
      <c r="AH58" s="60">
        <v>7254</v>
      </c>
      <c r="AI58" s="60">
        <v>5621684</v>
      </c>
      <c r="AK58">
        <v>1</v>
      </c>
      <c r="AL58" t="s">
        <v>160</v>
      </c>
      <c r="AM58">
        <v>36754</v>
      </c>
      <c r="AN58">
        <v>87564</v>
      </c>
      <c r="AO58">
        <v>19</v>
      </c>
      <c r="AP58" t="s">
        <v>170</v>
      </c>
    </row>
    <row r="59" spans="1:42" x14ac:dyDescent="0.25">
      <c r="A59" s="63">
        <v>11</v>
      </c>
      <c r="B59" s="64">
        <v>15767821</v>
      </c>
      <c r="C59" s="65" t="s">
        <v>120</v>
      </c>
      <c r="D59" s="66">
        <v>528</v>
      </c>
      <c r="E59" s="67" t="s">
        <v>106</v>
      </c>
      <c r="F59" s="68" t="s">
        <v>114</v>
      </c>
      <c r="G59" s="85">
        <v>31</v>
      </c>
      <c r="H59" s="87">
        <v>6</v>
      </c>
      <c r="I59" s="69">
        <v>102016.72</v>
      </c>
      <c r="J59" s="70">
        <v>2</v>
      </c>
      <c r="K59" s="71">
        <v>0</v>
      </c>
      <c r="L59" s="89">
        <v>0</v>
      </c>
      <c r="M59" s="72">
        <v>80181.119999999995</v>
      </c>
      <c r="N59" s="65"/>
      <c r="O59" s="73">
        <v>46179</v>
      </c>
      <c r="Q59" s="40">
        <v>0.26</v>
      </c>
      <c r="R59" s="41">
        <v>0.26</v>
      </c>
      <c r="S59" s="42">
        <v>0.26</v>
      </c>
      <c r="T59" s="43">
        <v>0.26</v>
      </c>
      <c r="U59" s="44">
        <v>0.26</v>
      </c>
      <c r="V59" s="45">
        <v>0.26</v>
      </c>
      <c r="W59" s="46">
        <v>0.26</v>
      </c>
      <c r="AB59" s="60">
        <v>-168265</v>
      </c>
      <c r="AC59" s="60">
        <v>4674</v>
      </c>
      <c r="AD59" s="60">
        <v>375237</v>
      </c>
      <c r="AE59" s="60" t="s">
        <v>143</v>
      </c>
      <c r="AF59" s="60">
        <v>43</v>
      </c>
      <c r="AG59" s="60">
        <v>43</v>
      </c>
      <c r="AH59" s="60">
        <v>43</v>
      </c>
      <c r="AI59" s="60">
        <v>43</v>
      </c>
      <c r="AK59">
        <v>2</v>
      </c>
      <c r="AL59" t="s">
        <v>161</v>
      </c>
      <c r="AM59">
        <v>35789</v>
      </c>
      <c r="AN59">
        <v>324</v>
      </c>
      <c r="AO59">
        <v>20</v>
      </c>
      <c r="AP59" t="s">
        <v>170</v>
      </c>
    </row>
    <row r="60" spans="1:42" x14ac:dyDescent="0.25">
      <c r="A60" s="63">
        <v>12</v>
      </c>
      <c r="B60" s="64">
        <v>15737173</v>
      </c>
      <c r="C60" s="65" t="s">
        <v>121</v>
      </c>
      <c r="D60" s="66">
        <v>497</v>
      </c>
      <c r="E60" s="67" t="s">
        <v>109</v>
      </c>
      <c r="F60" s="68" t="s">
        <v>114</v>
      </c>
      <c r="G60" s="85">
        <v>24</v>
      </c>
      <c r="H60" s="87">
        <v>3</v>
      </c>
      <c r="I60" s="69">
        <v>0</v>
      </c>
      <c r="J60" s="70">
        <v>-1</v>
      </c>
      <c r="K60" s="71">
        <v>1</v>
      </c>
      <c r="L60" s="89">
        <v>0</v>
      </c>
      <c r="M60" s="72">
        <v>76390.009999999995</v>
      </c>
      <c r="N60" s="65"/>
      <c r="O60" s="73">
        <f t="shared" ref="O60:O68" ca="1" si="12">TODAY()</f>
        <v>46179</v>
      </c>
      <c r="Q60" s="40">
        <v>2.33</v>
      </c>
      <c r="R60" s="41">
        <v>2.33</v>
      </c>
      <c r="S60" s="42">
        <v>2.33</v>
      </c>
      <c r="T60" s="43">
        <v>2.33</v>
      </c>
      <c r="U60" s="44">
        <v>2.33</v>
      </c>
      <c r="V60" s="45">
        <v>2.33</v>
      </c>
      <c r="W60" s="46">
        <v>2.33</v>
      </c>
      <c r="AB60" s="60">
        <v>8971</v>
      </c>
      <c r="AC60" s="60">
        <v>3663</v>
      </c>
      <c r="AD60" s="60">
        <v>64</v>
      </c>
      <c r="AE60" s="60" t="s">
        <v>144</v>
      </c>
      <c r="AF60" s="60">
        <v>23876</v>
      </c>
      <c r="AG60" s="60">
        <v>23876</v>
      </c>
      <c r="AH60" s="60">
        <v>23876</v>
      </c>
      <c r="AI60" s="60">
        <v>23876</v>
      </c>
      <c r="AK60">
        <v>3</v>
      </c>
      <c r="AL60" t="s">
        <v>162</v>
      </c>
      <c r="AM60">
        <v>547</v>
      </c>
      <c r="AN60">
        <v>543</v>
      </c>
      <c r="AO60">
        <v>21</v>
      </c>
      <c r="AP60" t="s">
        <v>170</v>
      </c>
    </row>
    <row r="61" spans="1:42" x14ac:dyDescent="0.25">
      <c r="A61" s="63">
        <v>13</v>
      </c>
      <c r="B61" s="64">
        <v>15632264</v>
      </c>
      <c r="C61" s="65" t="s">
        <v>122</v>
      </c>
      <c r="D61" s="66">
        <v>476</v>
      </c>
      <c r="E61" s="67" t="s">
        <v>106</v>
      </c>
      <c r="F61" s="68" t="s">
        <v>107</v>
      </c>
      <c r="G61" s="85">
        <v>34</v>
      </c>
      <c r="H61" s="87">
        <v>10</v>
      </c>
      <c r="I61" s="69">
        <v>0</v>
      </c>
      <c r="J61" s="70">
        <v>2</v>
      </c>
      <c r="K61" s="71">
        <v>1</v>
      </c>
      <c r="L61" s="89">
        <v>0</v>
      </c>
      <c r="M61" s="72">
        <v>26260.98</v>
      </c>
      <c r="N61" s="65"/>
      <c r="O61" s="73">
        <v>46180</v>
      </c>
      <c r="Q61" s="47">
        <v>4.32</v>
      </c>
      <c r="R61" s="48">
        <v>4.32</v>
      </c>
      <c r="S61" s="49">
        <v>4.32</v>
      </c>
      <c r="T61" s="50">
        <v>4.32</v>
      </c>
      <c r="U61" s="51">
        <v>4.32</v>
      </c>
      <c r="V61" s="52">
        <v>4.32</v>
      </c>
      <c r="W61" s="53">
        <v>4.32</v>
      </c>
      <c r="AB61" s="60">
        <v>87324846</v>
      </c>
      <c r="AC61" s="60">
        <v>3256</v>
      </c>
      <c r="AD61" s="60">
        <v>97</v>
      </c>
      <c r="AE61" s="60" t="s">
        <v>145</v>
      </c>
      <c r="AF61" s="60">
        <v>3786</v>
      </c>
      <c r="AG61" s="60">
        <v>3786</v>
      </c>
      <c r="AH61" s="60">
        <v>3786</v>
      </c>
      <c r="AI61" s="60">
        <v>3786</v>
      </c>
      <c r="AK61">
        <v>4</v>
      </c>
      <c r="AL61" t="s">
        <v>142</v>
      </c>
      <c r="AM61">
        <v>765</v>
      </c>
      <c r="AN61">
        <v>5397</v>
      </c>
      <c r="AO61">
        <v>3</v>
      </c>
      <c r="AP61" t="s">
        <v>171</v>
      </c>
    </row>
    <row r="62" spans="1:42" x14ac:dyDescent="0.25">
      <c r="A62" s="63">
        <v>14</v>
      </c>
      <c r="B62" s="64">
        <v>15691483</v>
      </c>
      <c r="C62" s="65" t="s">
        <v>123</v>
      </c>
      <c r="D62" s="66">
        <v>549</v>
      </c>
      <c r="E62" s="67" t="s">
        <v>106</v>
      </c>
      <c r="F62" s="68" t="s">
        <v>107</v>
      </c>
      <c r="G62" s="85">
        <v>25</v>
      </c>
      <c r="H62" s="87">
        <v>5</v>
      </c>
      <c r="I62" s="69">
        <v>0</v>
      </c>
      <c r="J62" s="70">
        <v>2</v>
      </c>
      <c r="K62" s="71">
        <v>0</v>
      </c>
      <c r="L62" s="89">
        <v>0</v>
      </c>
      <c r="M62" s="72">
        <v>190857.79</v>
      </c>
      <c r="N62" s="65"/>
      <c r="O62" s="73">
        <f t="shared" ref="O62:O70" ca="1" si="13">TODAY()</f>
        <v>46179</v>
      </c>
      <c r="AB62" s="60">
        <v>-2838972</v>
      </c>
      <c r="AC62" s="60">
        <v>79896</v>
      </c>
      <c r="AD62" s="60">
        <v>5873</v>
      </c>
      <c r="AE62" s="60" t="s">
        <v>146</v>
      </c>
      <c r="AF62" s="60">
        <v>46785</v>
      </c>
      <c r="AG62" s="60">
        <v>46785</v>
      </c>
      <c r="AH62" s="60">
        <v>46785</v>
      </c>
      <c r="AI62" s="60">
        <v>36457478</v>
      </c>
      <c r="AK62">
        <v>5</v>
      </c>
      <c r="AL62" t="s">
        <v>163</v>
      </c>
      <c r="AM62">
        <v>4645</v>
      </c>
      <c r="AN62">
        <v>89745</v>
      </c>
      <c r="AO62">
        <v>66</v>
      </c>
      <c r="AP62" t="s">
        <v>172</v>
      </c>
    </row>
    <row r="63" spans="1:42" x14ac:dyDescent="0.25">
      <c r="A63" s="63">
        <v>15</v>
      </c>
      <c r="B63" s="64">
        <v>15600882</v>
      </c>
      <c r="C63" s="65" t="s">
        <v>124</v>
      </c>
      <c r="D63" s="66">
        <v>635</v>
      </c>
      <c r="E63" s="67" t="s">
        <v>109</v>
      </c>
      <c r="F63" s="68" t="s">
        <v>107</v>
      </c>
      <c r="G63" s="85">
        <v>35</v>
      </c>
      <c r="H63" s="87">
        <v>7</v>
      </c>
      <c r="I63" s="69">
        <v>0</v>
      </c>
      <c r="J63" s="70">
        <v>2</v>
      </c>
      <c r="K63" s="71">
        <v>1</v>
      </c>
      <c r="L63" s="89">
        <v>1</v>
      </c>
      <c r="M63" s="72">
        <v>65951.649999999994</v>
      </c>
      <c r="N63" s="65"/>
      <c r="O63" s="73">
        <v>46181</v>
      </c>
      <c r="AB63" s="60">
        <v>0</v>
      </c>
      <c r="AC63" s="60">
        <v>6476</v>
      </c>
      <c r="AD63" s="60">
        <v>27286</v>
      </c>
      <c r="AE63" s="60" t="s">
        <v>147</v>
      </c>
      <c r="AF63" s="60">
        <v>5987</v>
      </c>
      <c r="AG63" s="60">
        <v>5987</v>
      </c>
      <c r="AH63" s="60">
        <v>5987</v>
      </c>
      <c r="AI63" s="60">
        <v>5987</v>
      </c>
      <c r="AK63">
        <v>6</v>
      </c>
      <c r="AL63" t="s">
        <v>164</v>
      </c>
      <c r="AM63">
        <v>46436</v>
      </c>
      <c r="AN63">
        <v>9764</v>
      </c>
      <c r="AO63">
        <v>24</v>
      </c>
      <c r="AP63" t="s">
        <v>170</v>
      </c>
    </row>
    <row r="64" spans="1:42" x14ac:dyDescent="0.25">
      <c r="A64" s="63">
        <v>16</v>
      </c>
      <c r="B64" s="64">
        <v>15643966</v>
      </c>
      <c r="C64" s="65" t="s">
        <v>125</v>
      </c>
      <c r="D64" s="66">
        <v>616</v>
      </c>
      <c r="E64" s="67" t="s">
        <v>117</v>
      </c>
      <c r="F64" s="68" t="s">
        <v>114</v>
      </c>
      <c r="G64" s="85">
        <v>45</v>
      </c>
      <c r="H64" s="87">
        <v>3</v>
      </c>
      <c r="I64" s="69">
        <v>143129.41</v>
      </c>
      <c r="J64" s="70">
        <v>2</v>
      </c>
      <c r="K64" s="71">
        <v>0</v>
      </c>
      <c r="L64" s="89">
        <v>1</v>
      </c>
      <c r="M64" s="72">
        <v>64327.26</v>
      </c>
      <c r="N64" s="65"/>
      <c r="O64" s="73">
        <f t="shared" ref="O64" ca="1" si="14">TODAY()</f>
        <v>46179</v>
      </c>
      <c r="AB64" s="60">
        <v>1</v>
      </c>
      <c r="AC64" s="60">
        <v>-76845</v>
      </c>
      <c r="AD64" s="60">
        <v>42875</v>
      </c>
      <c r="AE64" s="60" t="s">
        <v>148</v>
      </c>
      <c r="AF64" s="60">
        <v>6970</v>
      </c>
      <c r="AG64" s="60">
        <v>6970</v>
      </c>
      <c r="AH64" s="60">
        <v>6970</v>
      </c>
      <c r="AI64" s="60">
        <v>6970</v>
      </c>
      <c r="AK64">
        <v>7</v>
      </c>
      <c r="AL64" t="s">
        <v>165</v>
      </c>
      <c r="AM64">
        <v>43643</v>
      </c>
      <c r="AN64">
        <v>4578</v>
      </c>
      <c r="AO64">
        <v>25</v>
      </c>
      <c r="AP64" t="s">
        <v>170</v>
      </c>
    </row>
    <row r="65" spans="1:42" x14ac:dyDescent="0.25">
      <c r="A65" s="63">
        <v>17</v>
      </c>
      <c r="B65" s="64">
        <v>15737452</v>
      </c>
      <c r="C65" s="65" t="s">
        <v>126</v>
      </c>
      <c r="D65" s="66">
        <v>653</v>
      </c>
      <c r="E65" s="67" t="s">
        <v>117</v>
      </c>
      <c r="F65" s="68" t="s">
        <v>114</v>
      </c>
      <c r="G65" s="85">
        <v>58</v>
      </c>
      <c r="H65" s="87">
        <v>1</v>
      </c>
      <c r="I65" s="69">
        <v>132602.88</v>
      </c>
      <c r="J65" s="70">
        <v>1</v>
      </c>
      <c r="K65" s="71">
        <v>1</v>
      </c>
      <c r="L65" s="89">
        <v>0</v>
      </c>
      <c r="M65" s="72">
        <v>5097.67</v>
      </c>
      <c r="N65" s="65"/>
      <c r="O65" s="73">
        <v>46182</v>
      </c>
      <c r="AB65" s="60">
        <v>2324</v>
      </c>
      <c r="AC65" s="60">
        <v>-46346</v>
      </c>
      <c r="AD65" s="60">
        <v>35872</v>
      </c>
      <c r="AE65" s="60" t="s">
        <v>149</v>
      </c>
      <c r="AF65" s="60">
        <v>7877</v>
      </c>
      <c r="AG65" s="60">
        <v>7877</v>
      </c>
      <c r="AH65" s="60">
        <v>7877</v>
      </c>
      <c r="AI65" s="60">
        <v>7877</v>
      </c>
      <c r="AK65">
        <v>8</v>
      </c>
      <c r="AL65" t="s">
        <v>166</v>
      </c>
      <c r="AM65">
        <v>464</v>
      </c>
      <c r="AN65">
        <v>98754</v>
      </c>
      <c r="AO65">
        <v>26</v>
      </c>
      <c r="AP65" t="s">
        <v>173</v>
      </c>
    </row>
    <row r="66" spans="1:42" x14ac:dyDescent="0.25">
      <c r="A66" s="63">
        <v>18</v>
      </c>
      <c r="B66" s="64">
        <v>15788218</v>
      </c>
      <c r="C66" s="65" t="s">
        <v>127</v>
      </c>
      <c r="D66" s="66">
        <v>549</v>
      </c>
      <c r="E66" s="67" t="s">
        <v>109</v>
      </c>
      <c r="F66" s="68" t="s">
        <v>107</v>
      </c>
      <c r="G66" s="85">
        <v>24</v>
      </c>
      <c r="H66" s="87">
        <v>9</v>
      </c>
      <c r="I66" s="69">
        <v>0</v>
      </c>
      <c r="J66" s="70">
        <v>2</v>
      </c>
      <c r="K66" s="71">
        <v>1</v>
      </c>
      <c r="L66" s="89">
        <v>1</v>
      </c>
      <c r="M66" s="72">
        <v>14406.41</v>
      </c>
      <c r="N66" s="65"/>
      <c r="O66" s="73">
        <f t="shared" ref="O66" ca="1" si="15">TODAY()</f>
        <v>46179</v>
      </c>
      <c r="AB66" s="60">
        <v>4</v>
      </c>
      <c r="AC66" s="60">
        <v>-64558</v>
      </c>
      <c r="AD66" s="60">
        <v>-248672</v>
      </c>
      <c r="AE66" s="60" t="s">
        <v>150</v>
      </c>
      <c r="AF66" s="60">
        <v>9987</v>
      </c>
      <c r="AG66" s="60">
        <v>9987</v>
      </c>
      <c r="AH66" s="60">
        <v>9987</v>
      </c>
      <c r="AI66" s="60">
        <v>9987</v>
      </c>
      <c r="AK66">
        <v>9</v>
      </c>
      <c r="AL66" t="s">
        <v>167</v>
      </c>
      <c r="AM66">
        <v>45</v>
      </c>
      <c r="AN66">
        <v>384734</v>
      </c>
      <c r="AO66">
        <v>27</v>
      </c>
      <c r="AP66" t="s">
        <v>174</v>
      </c>
    </row>
    <row r="67" spans="1:42" x14ac:dyDescent="0.25">
      <c r="A67" s="63">
        <v>19</v>
      </c>
      <c r="B67" s="64">
        <v>15661507</v>
      </c>
      <c r="C67" s="65" t="s">
        <v>128</v>
      </c>
      <c r="D67" s="66">
        <v>587</v>
      </c>
      <c r="E67" s="67" t="s">
        <v>109</v>
      </c>
      <c r="F67" s="68" t="s">
        <v>114</v>
      </c>
      <c r="G67" s="85">
        <v>45</v>
      </c>
      <c r="H67" s="87">
        <v>6</v>
      </c>
      <c r="I67" s="69">
        <v>0</v>
      </c>
      <c r="J67" s="70">
        <v>1</v>
      </c>
      <c r="K67" s="71">
        <v>0</v>
      </c>
      <c r="L67" s="89">
        <v>0</v>
      </c>
      <c r="M67" s="72">
        <v>158684.81</v>
      </c>
      <c r="N67" s="65"/>
      <c r="O67" s="73">
        <v>46180</v>
      </c>
      <c r="AK67" t="s">
        <v>175</v>
      </c>
    </row>
    <row r="68" spans="1:42" x14ac:dyDescent="0.25">
      <c r="A68" s="63">
        <v>20</v>
      </c>
      <c r="B68" s="64">
        <v>15568982</v>
      </c>
      <c r="C68" s="65" t="s">
        <v>129</v>
      </c>
      <c r="D68" s="66">
        <v>726</v>
      </c>
      <c r="E68" s="67" t="s">
        <v>106</v>
      </c>
      <c r="F68" s="68" t="s">
        <v>107</v>
      </c>
      <c r="G68" s="85">
        <v>24</v>
      </c>
      <c r="H68" s="87">
        <v>-9</v>
      </c>
      <c r="I68" s="69">
        <v>0</v>
      </c>
      <c r="J68" s="70">
        <v>2</v>
      </c>
      <c r="K68" s="71">
        <v>1</v>
      </c>
      <c r="L68" s="89">
        <v>1</v>
      </c>
      <c r="M68" s="72">
        <v>54724.03</v>
      </c>
      <c r="N68" s="65"/>
      <c r="O68" s="73">
        <f t="shared" ca="1" si="12"/>
        <v>46179</v>
      </c>
    </row>
    <row r="69" spans="1:42" x14ac:dyDescent="0.25">
      <c r="A69" s="63">
        <v>21</v>
      </c>
      <c r="B69" s="64">
        <v>15577657</v>
      </c>
      <c r="C69" s="65" t="s">
        <v>130</v>
      </c>
      <c r="D69" s="66">
        <v>732</v>
      </c>
      <c r="E69" s="67" t="s">
        <v>106</v>
      </c>
      <c r="F69" s="68" t="s">
        <v>114</v>
      </c>
      <c r="G69" s="85">
        <v>41</v>
      </c>
      <c r="H69" s="87">
        <v>0</v>
      </c>
      <c r="I69" s="69">
        <v>0</v>
      </c>
      <c r="J69" s="70">
        <v>2</v>
      </c>
      <c r="K69" s="71">
        <v>1</v>
      </c>
      <c r="L69" s="89">
        <v>1</v>
      </c>
      <c r="M69" s="72">
        <v>170886.17</v>
      </c>
      <c r="N69" s="65"/>
      <c r="O69" s="73">
        <v>46181</v>
      </c>
    </row>
    <row r="70" spans="1:42" x14ac:dyDescent="0.25">
      <c r="A70" s="63">
        <v>22</v>
      </c>
      <c r="B70" s="64">
        <v>15597945</v>
      </c>
      <c r="C70" s="65" t="s">
        <v>131</v>
      </c>
      <c r="D70" s="66">
        <v>636</v>
      </c>
      <c r="E70" s="67" t="s">
        <v>109</v>
      </c>
      <c r="F70" s="68" t="s">
        <v>107</v>
      </c>
      <c r="G70" s="85">
        <v>32</v>
      </c>
      <c r="H70" s="87">
        <v>8</v>
      </c>
      <c r="I70" s="69">
        <v>0</v>
      </c>
      <c r="J70" s="70">
        <v>2</v>
      </c>
      <c r="K70" s="71">
        <v>1</v>
      </c>
      <c r="L70" s="89">
        <v>0</v>
      </c>
      <c r="M70" s="72">
        <v>138555.46</v>
      </c>
      <c r="N70" s="65"/>
      <c r="O70" s="73">
        <f t="shared" ca="1" si="13"/>
        <v>46179</v>
      </c>
    </row>
    <row r="71" spans="1:42" ht="15.75" thickBot="1" x14ac:dyDescent="0.3">
      <c r="A71" s="74">
        <v>23</v>
      </c>
      <c r="B71" s="75">
        <v>15699309</v>
      </c>
      <c r="C71" s="76" t="s">
        <v>132</v>
      </c>
      <c r="D71" s="77">
        <v>510</v>
      </c>
      <c r="E71" s="78" t="s">
        <v>109</v>
      </c>
      <c r="F71" s="79" t="s">
        <v>107</v>
      </c>
      <c r="G71" s="86">
        <v>38</v>
      </c>
      <c r="H71" s="88">
        <v>4</v>
      </c>
      <c r="I71" s="80">
        <v>0</v>
      </c>
      <c r="J71" s="81">
        <v>1</v>
      </c>
      <c r="K71" s="82">
        <v>1</v>
      </c>
      <c r="L71" s="90">
        <v>0</v>
      </c>
      <c r="M71" s="83">
        <v>118913.53</v>
      </c>
      <c r="N71" s="76"/>
      <c r="O71" s="84">
        <v>46182</v>
      </c>
    </row>
    <row r="72" spans="1:42" ht="15.75" thickTop="1" x14ac:dyDescent="0.25">
      <c r="E72" s="35"/>
    </row>
    <row r="75" spans="1:42" ht="20.25" thickBot="1" x14ac:dyDescent="0.35">
      <c r="G75" s="107" t="s">
        <v>231</v>
      </c>
      <c r="H75" s="107"/>
      <c r="I75" s="107"/>
    </row>
    <row r="76" spans="1:42" ht="15.75" thickTop="1" x14ac:dyDescent="0.25"/>
    <row r="77" spans="1:42" ht="30" x14ac:dyDescent="0.25">
      <c r="A77" s="99" t="s">
        <v>182</v>
      </c>
      <c r="B77" s="99" t="s">
        <v>183</v>
      </c>
      <c r="C77" s="99" t="s">
        <v>184</v>
      </c>
      <c r="D77" s="100" t="s">
        <v>185</v>
      </c>
      <c r="E77" s="100" t="s">
        <v>189</v>
      </c>
    </row>
    <row r="78" spans="1:42" ht="20.25" thickBot="1" x14ac:dyDescent="0.35">
      <c r="A78" s="93" t="s">
        <v>186</v>
      </c>
      <c r="B78" s="93" t="s">
        <v>186</v>
      </c>
      <c r="C78" s="93">
        <v>1</v>
      </c>
      <c r="D78" s="92">
        <v>45</v>
      </c>
      <c r="E78" s="94">
        <v>3</v>
      </c>
      <c r="H78" s="101" t="s">
        <v>232</v>
      </c>
      <c r="I78" s="101"/>
    </row>
    <row r="79" spans="1:42" ht="15.75" thickTop="1" x14ac:dyDescent="0.25">
      <c r="A79" s="93" t="s">
        <v>186</v>
      </c>
      <c r="B79" s="93" t="s">
        <v>186</v>
      </c>
      <c r="C79" s="93">
        <v>2</v>
      </c>
      <c r="D79" s="92">
        <v>47</v>
      </c>
      <c r="E79" s="94">
        <v>2</v>
      </c>
    </row>
    <row r="80" spans="1:42" ht="15.75" thickBot="1" x14ac:dyDescent="0.3">
      <c r="A80" s="93" t="s">
        <v>186</v>
      </c>
      <c r="B80" s="93" t="s">
        <v>187</v>
      </c>
      <c r="C80" s="93">
        <v>1</v>
      </c>
      <c r="D80" s="92">
        <v>52</v>
      </c>
      <c r="E80" s="94">
        <v>3</v>
      </c>
      <c r="H80" t="s">
        <v>191</v>
      </c>
    </row>
    <row r="81" spans="1:21" x14ac:dyDescent="0.25">
      <c r="A81" s="93" t="s">
        <v>186</v>
      </c>
      <c r="B81" s="93" t="s">
        <v>187</v>
      </c>
      <c r="C81" s="93">
        <v>2</v>
      </c>
      <c r="D81" s="92">
        <v>50</v>
      </c>
      <c r="E81" s="94">
        <v>66</v>
      </c>
      <c r="H81" s="102" t="s">
        <v>233</v>
      </c>
      <c r="I81" s="102" t="s">
        <v>193</v>
      </c>
      <c r="J81" s="102" t="s">
        <v>194</v>
      </c>
      <c r="K81" s="102" t="s">
        <v>195</v>
      </c>
      <c r="L81" s="102" t="s">
        <v>196</v>
      </c>
    </row>
    <row r="82" spans="1:21" x14ac:dyDescent="0.25">
      <c r="A82" s="93" t="s">
        <v>186</v>
      </c>
      <c r="B82" s="93" t="s">
        <v>188</v>
      </c>
      <c r="C82" s="93">
        <v>1</v>
      </c>
      <c r="D82" s="92">
        <v>58</v>
      </c>
      <c r="E82" s="94">
        <v>8</v>
      </c>
      <c r="H82" s="95" t="s">
        <v>184</v>
      </c>
      <c r="I82" s="95">
        <v>10</v>
      </c>
      <c r="J82" s="95">
        <v>15</v>
      </c>
      <c r="K82" s="95">
        <v>1.5</v>
      </c>
      <c r="L82" s="95">
        <v>0.27777777777777779</v>
      </c>
    </row>
    <row r="83" spans="1:21" ht="15.75" thickBot="1" x14ac:dyDescent="0.3">
      <c r="A83" s="93" t="s">
        <v>186</v>
      </c>
      <c r="B83" s="93" t="s">
        <v>188</v>
      </c>
      <c r="C83" s="93">
        <v>2</v>
      </c>
      <c r="D83" s="92">
        <v>60</v>
      </c>
      <c r="E83" s="94">
        <v>34</v>
      </c>
      <c r="H83" s="96" t="s">
        <v>185</v>
      </c>
      <c r="I83" s="96">
        <v>10</v>
      </c>
      <c r="J83" s="96">
        <v>552</v>
      </c>
      <c r="K83" s="96">
        <v>55.2</v>
      </c>
      <c r="L83" s="96">
        <v>44.399999999999835</v>
      </c>
    </row>
    <row r="84" spans="1:21" x14ac:dyDescent="0.25">
      <c r="A84" s="93" t="s">
        <v>188</v>
      </c>
      <c r="B84" s="93" t="s">
        <v>186</v>
      </c>
      <c r="C84" s="93">
        <v>1</v>
      </c>
      <c r="D84" s="92">
        <v>55</v>
      </c>
      <c r="E84" s="94">
        <v>1</v>
      </c>
    </row>
    <row r="85" spans="1:21" x14ac:dyDescent="0.25">
      <c r="A85" s="93" t="s">
        <v>188</v>
      </c>
      <c r="B85" s="93" t="s">
        <v>186</v>
      </c>
      <c r="C85" s="93">
        <v>2</v>
      </c>
      <c r="D85" s="92">
        <v>57</v>
      </c>
      <c r="E85" s="94">
        <v>1</v>
      </c>
    </row>
    <row r="86" spans="1:21" ht="15.75" thickBot="1" x14ac:dyDescent="0.3">
      <c r="A86" s="93" t="s">
        <v>188</v>
      </c>
      <c r="B86" s="93" t="s">
        <v>187</v>
      </c>
      <c r="C86" s="93">
        <v>1</v>
      </c>
      <c r="D86" s="92">
        <v>65</v>
      </c>
      <c r="E86" s="94">
        <v>2</v>
      </c>
      <c r="H86" t="s">
        <v>197</v>
      </c>
    </row>
    <row r="87" spans="1:21" x14ac:dyDescent="0.25">
      <c r="A87" s="93" t="s">
        <v>188</v>
      </c>
      <c r="B87" s="93" t="s">
        <v>187</v>
      </c>
      <c r="C87" s="93">
        <v>2</v>
      </c>
      <c r="D87" s="92">
        <v>63</v>
      </c>
      <c r="E87" s="94">
        <v>3</v>
      </c>
      <c r="G87" s="4"/>
      <c r="H87" s="103" t="s">
        <v>198</v>
      </c>
      <c r="I87" s="103" t="s">
        <v>199</v>
      </c>
      <c r="J87" s="103" t="s">
        <v>200</v>
      </c>
      <c r="K87" s="103" t="s">
        <v>201</v>
      </c>
      <c r="L87" s="103" t="s">
        <v>8</v>
      </c>
      <c r="M87" s="103" t="s">
        <v>202</v>
      </c>
      <c r="N87" s="103" t="s">
        <v>203</v>
      </c>
    </row>
    <row r="88" spans="1:21" ht="20.25" thickBot="1" x14ac:dyDescent="0.35">
      <c r="A88" s="101"/>
      <c r="B88" s="101" t="s">
        <v>83</v>
      </c>
      <c r="H88" s="95" t="s">
        <v>234</v>
      </c>
      <c r="I88" s="95">
        <v>14418.449999999999</v>
      </c>
      <c r="J88" s="95">
        <v>1</v>
      </c>
      <c r="K88" s="95">
        <v>14418.449999999999</v>
      </c>
      <c r="L88" s="95">
        <v>645.44168117383731</v>
      </c>
      <c r="M88" s="95">
        <v>1.4957946230548644E-15</v>
      </c>
      <c r="N88" s="95">
        <v>4.4138734191705664</v>
      </c>
    </row>
    <row r="89" spans="1:21" ht="15.75" thickTop="1" x14ac:dyDescent="0.25">
      <c r="A89" s="104"/>
      <c r="B89" s="104" t="s">
        <v>184</v>
      </c>
      <c r="C89" s="104" t="s">
        <v>185</v>
      </c>
      <c r="H89" s="95" t="s">
        <v>235</v>
      </c>
      <c r="I89" s="95">
        <v>402.09999999999997</v>
      </c>
      <c r="J89" s="95">
        <v>18</v>
      </c>
      <c r="K89" s="95">
        <v>22.338888888888889</v>
      </c>
      <c r="L89" s="95"/>
      <c r="M89" s="95"/>
      <c r="N89" s="95"/>
      <c r="P89" t="s">
        <v>238</v>
      </c>
      <c r="S89" t="s">
        <v>246</v>
      </c>
    </row>
    <row r="90" spans="1:21" x14ac:dyDescent="0.25">
      <c r="A90" s="95" t="s">
        <v>184</v>
      </c>
      <c r="B90" s="95">
        <v>1</v>
      </c>
      <c r="C90" s="95"/>
      <c r="H90" s="95"/>
      <c r="I90" s="95"/>
      <c r="J90" s="95"/>
      <c r="K90" s="95"/>
      <c r="L90" s="95"/>
      <c r="M90" s="95"/>
      <c r="N90" s="95"/>
      <c r="P90" t="s">
        <v>239</v>
      </c>
      <c r="Q90" t="s">
        <v>242</v>
      </c>
      <c r="S90" t="s">
        <v>247</v>
      </c>
      <c r="T90" t="s">
        <v>248</v>
      </c>
      <c r="U90" t="s">
        <v>249</v>
      </c>
    </row>
    <row r="91" spans="1:21" ht="15.75" thickBot="1" x14ac:dyDescent="0.3">
      <c r="A91" s="96" t="s">
        <v>185</v>
      </c>
      <c r="B91" s="96">
        <v>3.163859985841664E-2</v>
      </c>
      <c r="C91" s="96">
        <v>1</v>
      </c>
      <c r="H91" s="96" t="s">
        <v>192</v>
      </c>
      <c r="I91" s="96">
        <v>14820.55</v>
      </c>
      <c r="J91" s="96">
        <v>19</v>
      </c>
      <c r="K91" s="96"/>
      <c r="L91" s="96"/>
      <c r="M91" s="96"/>
      <c r="N91" s="96"/>
      <c r="P91" t="s">
        <v>239</v>
      </c>
      <c r="Q91" t="s">
        <v>243</v>
      </c>
      <c r="S91" t="s">
        <v>250</v>
      </c>
      <c r="T91">
        <v>45</v>
      </c>
      <c r="U91">
        <v>98</v>
      </c>
    </row>
    <row r="92" spans="1:21" x14ac:dyDescent="0.25">
      <c r="P92" t="s">
        <v>239</v>
      </c>
      <c r="Q92" t="s">
        <v>244</v>
      </c>
      <c r="S92" t="s">
        <v>251</v>
      </c>
      <c r="T92">
        <v>65</v>
      </c>
      <c r="U92">
        <v>65</v>
      </c>
    </row>
    <row r="93" spans="1:21" x14ac:dyDescent="0.25">
      <c r="P93" t="s">
        <v>240</v>
      </c>
      <c r="Q93" t="s">
        <v>245</v>
      </c>
      <c r="S93" t="s">
        <v>252</v>
      </c>
      <c r="T93">
        <v>22</v>
      </c>
      <c r="U93">
        <v>46</v>
      </c>
    </row>
    <row r="94" spans="1:21" ht="20.25" thickBot="1" x14ac:dyDescent="0.35">
      <c r="A94" s="101" t="s">
        <v>190</v>
      </c>
      <c r="B94" s="101"/>
      <c r="C94" s="101"/>
      <c r="I94" s="101" t="s">
        <v>208</v>
      </c>
      <c r="J94" s="101"/>
      <c r="K94" s="101"/>
      <c r="P94" t="s">
        <v>240</v>
      </c>
      <c r="S94" t="s">
        <v>253</v>
      </c>
      <c r="T94">
        <v>87</v>
      </c>
      <c r="U94">
        <v>45</v>
      </c>
    </row>
    <row r="95" spans="1:21" ht="16.5" thickTop="1" thickBot="1" x14ac:dyDescent="0.3">
      <c r="P95" t="s">
        <v>240</v>
      </c>
    </row>
    <row r="96" spans="1:21" x14ac:dyDescent="0.25">
      <c r="A96" t="s">
        <v>191</v>
      </c>
      <c r="B96" t="s">
        <v>185</v>
      </c>
      <c r="C96" t="s">
        <v>189</v>
      </c>
      <c r="D96" t="s">
        <v>192</v>
      </c>
      <c r="I96" s="102" t="s">
        <v>191</v>
      </c>
      <c r="J96" s="102" t="s">
        <v>193</v>
      </c>
      <c r="K96" s="102" t="s">
        <v>194</v>
      </c>
      <c r="L96" s="102" t="s">
        <v>195</v>
      </c>
      <c r="M96" s="102" t="s">
        <v>196</v>
      </c>
      <c r="P96" s="109" t="s">
        <v>241</v>
      </c>
    </row>
    <row r="97" spans="1:16" ht="15.75" thickBot="1" x14ac:dyDescent="0.3">
      <c r="A97" s="98">
        <v>1</v>
      </c>
      <c r="B97" s="98"/>
      <c r="C97" s="98"/>
      <c r="D97" s="98"/>
      <c r="I97" s="95">
        <v>1</v>
      </c>
      <c r="J97" s="95">
        <v>1</v>
      </c>
      <c r="K97" s="95">
        <v>45</v>
      </c>
      <c r="L97" s="95">
        <v>45</v>
      </c>
      <c r="M97" s="95" t="e">
        <v>#DIV/0!</v>
      </c>
      <c r="P97" t="s">
        <v>241</v>
      </c>
    </row>
    <row r="98" spans="1:16" x14ac:dyDescent="0.25">
      <c r="A98" s="95" t="s">
        <v>193</v>
      </c>
      <c r="B98" s="95">
        <v>10</v>
      </c>
      <c r="C98" s="95">
        <v>10</v>
      </c>
      <c r="D98" s="95">
        <v>20</v>
      </c>
      <c r="I98" s="95">
        <v>2</v>
      </c>
      <c r="J98" s="95">
        <v>1</v>
      </c>
      <c r="K98" s="95">
        <v>47</v>
      </c>
      <c r="L98" s="95">
        <v>47</v>
      </c>
      <c r="M98" s="95" t="e">
        <v>#DIV/0!</v>
      </c>
      <c r="P98" t="s">
        <v>241</v>
      </c>
    </row>
    <row r="99" spans="1:16" x14ac:dyDescent="0.25">
      <c r="A99" s="95" t="s">
        <v>194</v>
      </c>
      <c r="B99" s="95">
        <v>552</v>
      </c>
      <c r="C99" s="95">
        <v>123</v>
      </c>
      <c r="D99" s="95">
        <v>675</v>
      </c>
      <c r="I99" s="95">
        <v>1</v>
      </c>
      <c r="J99" s="95">
        <v>1</v>
      </c>
      <c r="K99" s="95">
        <v>52</v>
      </c>
      <c r="L99" s="95">
        <v>52</v>
      </c>
      <c r="M99" s="95" t="e">
        <v>#DIV/0!</v>
      </c>
    </row>
    <row r="100" spans="1:16" x14ac:dyDescent="0.25">
      <c r="A100" s="95" t="s">
        <v>195</v>
      </c>
      <c r="B100" s="95">
        <v>55.2</v>
      </c>
      <c r="C100" s="95">
        <v>12.3</v>
      </c>
      <c r="D100" s="95">
        <v>33.75</v>
      </c>
      <c r="I100" s="95">
        <v>2</v>
      </c>
      <c r="J100" s="95">
        <v>1</v>
      </c>
      <c r="K100" s="95">
        <v>50</v>
      </c>
      <c r="L100" s="95">
        <v>50</v>
      </c>
      <c r="M100" s="95" t="e">
        <v>#DIV/0!</v>
      </c>
    </row>
    <row r="101" spans="1:16" x14ac:dyDescent="0.25">
      <c r="A101" s="95" t="s">
        <v>196</v>
      </c>
      <c r="B101" s="95">
        <v>44.399999999999835</v>
      </c>
      <c r="C101" s="95">
        <v>455.56666666666672</v>
      </c>
      <c r="D101" s="95">
        <v>721.14473684210532</v>
      </c>
      <c r="I101" s="95">
        <v>1</v>
      </c>
      <c r="J101" s="95">
        <v>1</v>
      </c>
      <c r="K101" s="95">
        <v>58</v>
      </c>
      <c r="L101" s="95">
        <v>58</v>
      </c>
      <c r="M101" s="95" t="e">
        <v>#DIV/0!</v>
      </c>
    </row>
    <row r="102" spans="1:16" x14ac:dyDescent="0.25">
      <c r="A102" s="95"/>
      <c r="B102" s="95"/>
      <c r="C102" s="95"/>
      <c r="D102" s="95"/>
      <c r="I102" s="95">
        <v>2</v>
      </c>
      <c r="J102" s="95">
        <v>1</v>
      </c>
      <c r="K102" s="95">
        <v>60</v>
      </c>
      <c r="L102" s="95">
        <v>60</v>
      </c>
      <c r="M102" s="95" t="e">
        <v>#DIV/0!</v>
      </c>
    </row>
    <row r="103" spans="1:16" ht="15.75" thickBot="1" x14ac:dyDescent="0.3">
      <c r="A103" s="98" t="s">
        <v>192</v>
      </c>
      <c r="B103" s="98"/>
      <c r="C103" s="98"/>
      <c r="I103" s="95">
        <v>1</v>
      </c>
      <c r="J103" s="95">
        <v>1</v>
      </c>
      <c r="K103" s="95">
        <v>55</v>
      </c>
      <c r="L103" s="95">
        <v>55</v>
      </c>
      <c r="M103" s="95" t="e">
        <v>#DIV/0!</v>
      </c>
    </row>
    <row r="104" spans="1:16" x14ac:dyDescent="0.25">
      <c r="A104" s="95" t="s">
        <v>193</v>
      </c>
      <c r="B104" s="95">
        <v>10</v>
      </c>
      <c r="C104" s="95">
        <v>10</v>
      </c>
      <c r="I104" s="95">
        <v>2</v>
      </c>
      <c r="J104" s="95">
        <v>1</v>
      </c>
      <c r="K104" s="95">
        <v>57</v>
      </c>
      <c r="L104" s="95">
        <v>57</v>
      </c>
      <c r="M104" s="95" t="e">
        <v>#DIV/0!</v>
      </c>
    </row>
    <row r="105" spans="1:16" x14ac:dyDescent="0.25">
      <c r="A105" s="95" t="s">
        <v>194</v>
      </c>
      <c r="B105" s="95">
        <v>552</v>
      </c>
      <c r="C105" s="95">
        <v>123</v>
      </c>
      <c r="I105" s="95">
        <v>1</v>
      </c>
      <c r="J105" s="95">
        <v>1</v>
      </c>
      <c r="K105" s="95">
        <v>65</v>
      </c>
      <c r="L105" s="95">
        <v>65</v>
      </c>
      <c r="M105" s="95" t="e">
        <v>#DIV/0!</v>
      </c>
    </row>
    <row r="106" spans="1:16" x14ac:dyDescent="0.25">
      <c r="A106" s="95" t="s">
        <v>195</v>
      </c>
      <c r="B106" s="95">
        <v>55.2</v>
      </c>
      <c r="C106" s="95">
        <v>12.3</v>
      </c>
      <c r="I106" s="95">
        <v>2</v>
      </c>
      <c r="J106" s="95">
        <v>1</v>
      </c>
      <c r="K106" s="95">
        <v>63</v>
      </c>
      <c r="L106" s="95">
        <v>63</v>
      </c>
      <c r="M106" s="95" t="e">
        <v>#DIV/0!</v>
      </c>
    </row>
    <row r="107" spans="1:16" x14ac:dyDescent="0.25">
      <c r="A107" s="95" t="s">
        <v>196</v>
      </c>
      <c r="B107" s="95">
        <v>44.399999999999835</v>
      </c>
      <c r="C107" s="95">
        <v>455.56666666666672</v>
      </c>
      <c r="I107" s="95"/>
      <c r="J107" s="95"/>
      <c r="K107" s="95"/>
      <c r="L107" s="95"/>
      <c r="M107" s="95"/>
    </row>
    <row r="108" spans="1:16" ht="15.75" thickBot="1" x14ac:dyDescent="0.3">
      <c r="A108" s="95"/>
      <c r="B108" s="95"/>
      <c r="C108" s="95"/>
      <c r="I108" s="96" t="s">
        <v>185</v>
      </c>
      <c r="J108" s="96">
        <v>10</v>
      </c>
      <c r="K108" s="96">
        <v>552</v>
      </c>
      <c r="L108" s="96">
        <v>55.2</v>
      </c>
      <c r="M108" s="96">
        <v>44.399999999999835</v>
      </c>
    </row>
    <row r="110" spans="1:16" ht="15.75" thickBot="1" x14ac:dyDescent="0.3">
      <c r="A110" t="s">
        <v>197</v>
      </c>
    </row>
    <row r="111" spans="1:16" ht="15.75" thickBot="1" x14ac:dyDescent="0.3">
      <c r="A111" s="105" t="s">
        <v>198</v>
      </c>
      <c r="B111" s="105" t="s">
        <v>199</v>
      </c>
      <c r="C111" s="105" t="s">
        <v>200</v>
      </c>
      <c r="D111" s="105" t="s">
        <v>201</v>
      </c>
      <c r="E111" s="105" t="s">
        <v>8</v>
      </c>
      <c r="F111" s="105" t="s">
        <v>202</v>
      </c>
      <c r="G111" s="105" t="s">
        <v>203</v>
      </c>
      <c r="I111" t="s">
        <v>197</v>
      </c>
    </row>
    <row r="112" spans="1:16" x14ac:dyDescent="0.25">
      <c r="A112" s="95" t="s">
        <v>204</v>
      </c>
      <c r="B112" s="95">
        <v>0</v>
      </c>
      <c r="C112" s="95">
        <v>0</v>
      </c>
      <c r="D112" s="95">
        <v>65535</v>
      </c>
      <c r="E112" s="95">
        <v>65535</v>
      </c>
      <c r="F112" s="95" t="e">
        <v>#NUM!</v>
      </c>
      <c r="G112" s="95" t="e">
        <v>#NUM!</v>
      </c>
      <c r="H112" s="14"/>
      <c r="I112" s="106" t="s">
        <v>198</v>
      </c>
      <c r="J112" s="106" t="s">
        <v>199</v>
      </c>
      <c r="K112" s="106" t="s">
        <v>200</v>
      </c>
      <c r="L112" s="106" t="s">
        <v>201</v>
      </c>
      <c r="M112" s="106" t="s">
        <v>8</v>
      </c>
      <c r="N112" s="106" t="s">
        <v>202</v>
      </c>
      <c r="O112" s="106" t="s">
        <v>203</v>
      </c>
    </row>
    <row r="113" spans="1:15" x14ac:dyDescent="0.25">
      <c r="A113" s="95" t="s">
        <v>205</v>
      </c>
      <c r="B113" s="95">
        <v>9202.0499999999993</v>
      </c>
      <c r="C113" s="95">
        <v>1</v>
      </c>
      <c r="D113" s="95">
        <v>9202.0499999999993</v>
      </c>
      <c r="E113" s="95">
        <v>36.810654043602895</v>
      </c>
      <c r="F113" s="95">
        <v>9.824218060329172E-6</v>
      </c>
      <c r="G113" s="95">
        <v>4.4138734191705664</v>
      </c>
      <c r="I113" s="95" t="s">
        <v>209</v>
      </c>
      <c r="J113" s="95">
        <v>399.59999999999997</v>
      </c>
      <c r="K113" s="95">
        <v>9</v>
      </c>
      <c r="L113" s="95">
        <v>44.4</v>
      </c>
      <c r="M113" s="95">
        <v>65535</v>
      </c>
      <c r="N113" s="95" t="e">
        <v>#NUM!</v>
      </c>
      <c r="O113" s="95" t="e">
        <v>#NUM!</v>
      </c>
    </row>
    <row r="114" spans="1:15" x14ac:dyDescent="0.25">
      <c r="A114" s="95" t="s">
        <v>206</v>
      </c>
      <c r="B114" s="95">
        <v>0</v>
      </c>
      <c r="C114" s="95">
        <v>0</v>
      </c>
      <c r="D114" s="95">
        <v>65535</v>
      </c>
      <c r="E114" s="95">
        <v>65535</v>
      </c>
      <c r="F114" s="95" t="e">
        <v>#NUM!</v>
      </c>
      <c r="G114" s="95" t="e">
        <v>#NUM!</v>
      </c>
      <c r="I114" s="95" t="s">
        <v>205</v>
      </c>
      <c r="J114" s="95">
        <v>0</v>
      </c>
      <c r="K114" s="95">
        <v>0</v>
      </c>
      <c r="L114" s="95">
        <v>65535</v>
      </c>
      <c r="M114" s="95">
        <v>65535</v>
      </c>
      <c r="N114" s="95" t="e">
        <v>#NUM!</v>
      </c>
      <c r="O114" s="95" t="e">
        <v>#NUM!</v>
      </c>
    </row>
    <row r="115" spans="1:15" x14ac:dyDescent="0.25">
      <c r="A115" s="95" t="s">
        <v>207</v>
      </c>
      <c r="B115" s="95">
        <v>4499.7000000000007</v>
      </c>
      <c r="C115" s="95">
        <v>18</v>
      </c>
      <c r="D115" s="95">
        <v>249.98333333333338</v>
      </c>
      <c r="E115" s="95"/>
      <c r="F115" s="95"/>
      <c r="G115" s="95"/>
      <c r="I115" s="95" t="s">
        <v>210</v>
      </c>
      <c r="J115" s="95">
        <v>0</v>
      </c>
      <c r="K115" s="95">
        <v>0</v>
      </c>
      <c r="L115" s="95">
        <v>65535</v>
      </c>
      <c r="M115" s="95"/>
      <c r="N115" s="95"/>
      <c r="O115" s="95"/>
    </row>
    <row r="116" spans="1:15" x14ac:dyDescent="0.25">
      <c r="A116" s="95"/>
      <c r="B116" s="95"/>
      <c r="C116" s="95"/>
      <c r="D116" s="95"/>
      <c r="E116" s="95"/>
      <c r="F116" s="95"/>
      <c r="G116" s="95"/>
      <c r="I116" s="95"/>
      <c r="J116" s="95"/>
      <c r="K116" s="95"/>
      <c r="L116" s="95"/>
      <c r="M116" s="95"/>
      <c r="N116" s="95"/>
      <c r="O116" s="95"/>
    </row>
    <row r="117" spans="1:15" ht="15.75" thickBot="1" x14ac:dyDescent="0.3">
      <c r="A117" s="96" t="s">
        <v>192</v>
      </c>
      <c r="B117" s="96">
        <v>13701.75</v>
      </c>
      <c r="C117" s="96">
        <v>19</v>
      </c>
      <c r="D117" s="96"/>
      <c r="E117" s="96"/>
      <c r="F117" s="96"/>
      <c r="G117" s="96"/>
      <c r="I117" s="96" t="s">
        <v>192</v>
      </c>
      <c r="J117" s="96">
        <v>399.59999999999997</v>
      </c>
      <c r="K117" s="96">
        <v>9</v>
      </c>
      <c r="L117" s="96"/>
      <c r="M117" s="96"/>
      <c r="N117" s="96"/>
      <c r="O117" s="96"/>
    </row>
    <row r="119" spans="1:15" ht="20.25" thickBot="1" x14ac:dyDescent="0.35">
      <c r="B119" s="101" t="s">
        <v>236</v>
      </c>
      <c r="C119" s="101"/>
    </row>
    <row r="120" spans="1:15" ht="16.5" thickTop="1" thickBot="1" x14ac:dyDescent="0.3"/>
    <row r="121" spans="1:15" ht="20.25" thickBot="1" x14ac:dyDescent="0.35">
      <c r="A121" s="97" t="s">
        <v>184</v>
      </c>
      <c r="B121" s="97"/>
      <c r="C121" s="97" t="s">
        <v>185</v>
      </c>
      <c r="D121" s="97"/>
      <c r="I121" s="101" t="s">
        <v>222</v>
      </c>
      <c r="J121" s="101"/>
      <c r="K121" s="101"/>
    </row>
    <row r="122" spans="1:15" ht="16.5" thickTop="1" thickBot="1" x14ac:dyDescent="0.3">
      <c r="A122" s="95"/>
      <c r="B122" s="95"/>
      <c r="C122" s="95"/>
      <c r="D122" s="95"/>
    </row>
    <row r="123" spans="1:15" x14ac:dyDescent="0.25">
      <c r="A123" s="95" t="s">
        <v>211</v>
      </c>
      <c r="B123" s="95">
        <v>1.5</v>
      </c>
      <c r="C123" s="95" t="s">
        <v>211</v>
      </c>
      <c r="D123" s="95">
        <v>55.2</v>
      </c>
      <c r="I123" s="97"/>
      <c r="J123" s="97" t="s">
        <v>184</v>
      </c>
      <c r="K123" s="97" t="s">
        <v>185</v>
      </c>
    </row>
    <row r="124" spans="1:15" x14ac:dyDescent="0.25">
      <c r="A124" s="95" t="s">
        <v>212</v>
      </c>
      <c r="B124" s="95">
        <v>0.16666666666666666</v>
      </c>
      <c r="C124" s="95" t="s">
        <v>212</v>
      </c>
      <c r="D124" s="95">
        <v>2.1071307505705437</v>
      </c>
      <c r="I124" s="95" t="s">
        <v>211</v>
      </c>
      <c r="J124" s="95">
        <v>1.5</v>
      </c>
      <c r="K124" s="95">
        <v>55.2</v>
      </c>
    </row>
    <row r="125" spans="1:15" x14ac:dyDescent="0.25">
      <c r="A125" s="95" t="s">
        <v>213</v>
      </c>
      <c r="B125" s="95">
        <v>1.5</v>
      </c>
      <c r="C125" s="95" t="s">
        <v>213</v>
      </c>
      <c r="D125" s="95">
        <v>56</v>
      </c>
      <c r="I125" s="95" t="s">
        <v>196</v>
      </c>
      <c r="J125" s="95">
        <v>0.27777777777777779</v>
      </c>
      <c r="K125" s="95">
        <v>44.399999999999835</v>
      </c>
    </row>
    <row r="126" spans="1:15" x14ac:dyDescent="0.25">
      <c r="A126" s="95" t="s">
        <v>214</v>
      </c>
      <c r="B126" s="95">
        <v>1</v>
      </c>
      <c r="C126" s="95" t="s">
        <v>214</v>
      </c>
      <c r="D126" s="95" t="e">
        <v>#N/A</v>
      </c>
      <c r="I126" s="95" t="s">
        <v>223</v>
      </c>
      <c r="J126" s="95">
        <v>10</v>
      </c>
      <c r="K126" s="95">
        <v>10</v>
      </c>
    </row>
    <row r="127" spans="1:15" x14ac:dyDescent="0.25">
      <c r="A127" s="95" t="s">
        <v>215</v>
      </c>
      <c r="B127" s="95">
        <v>0.52704627669472992</v>
      </c>
      <c r="C127" s="95" t="s">
        <v>215</v>
      </c>
      <c r="D127" s="95">
        <v>6.6633324995830607</v>
      </c>
      <c r="I127" s="95" t="s">
        <v>224</v>
      </c>
      <c r="J127" s="95">
        <v>3.163859985841664E-2</v>
      </c>
      <c r="K127" s="95"/>
    </row>
    <row r="128" spans="1:15" x14ac:dyDescent="0.25">
      <c r="A128" s="95" t="s">
        <v>216</v>
      </c>
      <c r="B128" s="95">
        <v>0.27777777777777779</v>
      </c>
      <c r="C128" s="95" t="s">
        <v>216</v>
      </c>
      <c r="D128" s="95">
        <v>44.399999999999835</v>
      </c>
      <c r="I128" s="95" t="s">
        <v>225</v>
      </c>
      <c r="J128" s="95">
        <v>0</v>
      </c>
      <c r="K128" s="95"/>
    </row>
    <row r="129" spans="1:11" x14ac:dyDescent="0.25">
      <c r="A129" s="95" t="s">
        <v>217</v>
      </c>
      <c r="B129" s="95">
        <v>-2.5714285714285721</v>
      </c>
      <c r="C129" s="95" t="s">
        <v>217</v>
      </c>
      <c r="D129" s="95">
        <v>-1.0500703406108798</v>
      </c>
      <c r="I129" s="95" t="s">
        <v>200</v>
      </c>
      <c r="J129" s="95">
        <v>9</v>
      </c>
      <c r="K129" s="95"/>
    </row>
    <row r="130" spans="1:11" x14ac:dyDescent="0.25">
      <c r="A130" s="95" t="s">
        <v>218</v>
      </c>
      <c r="B130" s="95">
        <v>0</v>
      </c>
      <c r="C130" s="95" t="s">
        <v>218</v>
      </c>
      <c r="D130" s="95">
        <v>-0.1088382165036207</v>
      </c>
      <c r="I130" s="95" t="s">
        <v>226</v>
      </c>
      <c r="J130" s="95">
        <v>-25.468963131216348</v>
      </c>
      <c r="K130" s="95"/>
    </row>
    <row r="131" spans="1:11" x14ac:dyDescent="0.25">
      <c r="A131" s="95" t="s">
        <v>219</v>
      </c>
      <c r="B131" s="95">
        <v>1</v>
      </c>
      <c r="C131" s="95" t="s">
        <v>219</v>
      </c>
      <c r="D131" s="95">
        <v>20</v>
      </c>
      <c r="I131" s="95" t="s">
        <v>227</v>
      </c>
      <c r="J131" s="95">
        <v>5.3364952001418588E-10</v>
      </c>
      <c r="K131" s="95"/>
    </row>
    <row r="132" spans="1:11" x14ac:dyDescent="0.25">
      <c r="A132" s="95" t="s">
        <v>220</v>
      </c>
      <c r="B132" s="95">
        <v>1</v>
      </c>
      <c r="C132" s="95" t="s">
        <v>220</v>
      </c>
      <c r="D132" s="95">
        <v>45</v>
      </c>
      <c r="I132" s="95" t="s">
        <v>228</v>
      </c>
      <c r="J132" s="95">
        <v>1.8331129326562374</v>
      </c>
      <c r="K132" s="95"/>
    </row>
    <row r="133" spans="1:11" x14ac:dyDescent="0.25">
      <c r="A133" s="95" t="s">
        <v>221</v>
      </c>
      <c r="B133" s="95">
        <v>2</v>
      </c>
      <c r="C133" s="95" t="s">
        <v>221</v>
      </c>
      <c r="D133" s="95">
        <v>65</v>
      </c>
      <c r="I133" s="95" t="s">
        <v>229</v>
      </c>
      <c r="J133" s="95">
        <v>1.0672990400283718E-9</v>
      </c>
      <c r="K133" s="95"/>
    </row>
    <row r="134" spans="1:11" ht="15.75" thickBot="1" x14ac:dyDescent="0.3">
      <c r="A134" s="95" t="s">
        <v>194</v>
      </c>
      <c r="B134" s="95">
        <v>15</v>
      </c>
      <c r="C134" s="95" t="s">
        <v>194</v>
      </c>
      <c r="D134" s="95">
        <v>552</v>
      </c>
      <c r="I134" s="96" t="s">
        <v>230</v>
      </c>
      <c r="J134" s="96">
        <v>2.2621571627982053</v>
      </c>
      <c r="K134" s="96"/>
    </row>
    <row r="135" spans="1:11" ht="15.75" thickBot="1" x14ac:dyDescent="0.3">
      <c r="A135" s="96" t="s">
        <v>193</v>
      </c>
      <c r="B135" s="96">
        <v>10</v>
      </c>
      <c r="C135" s="96" t="s">
        <v>193</v>
      </c>
      <c r="D135" s="96">
        <v>10</v>
      </c>
    </row>
  </sheetData>
  <conditionalFormatting sqref="L40:L44">
    <cfRule type="colorScale" priority="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Q56:W61">
    <cfRule type="colorScale" priority="16">
      <colorScale>
        <cfvo type="min"/>
        <cfvo type="max"/>
        <color rgb="FF63BE7B"/>
        <color rgb="FFFFEF9C"/>
      </colorScale>
    </cfRule>
  </conditionalFormatting>
  <conditionalFormatting sqref="AB58:AB66">
    <cfRule type="cellIs" dxfId="8" priority="13" operator="equal">
      <formula>1</formula>
    </cfRule>
  </conditionalFormatting>
  <conditionalFormatting sqref="AC58:AC66">
    <cfRule type="cellIs" dxfId="7" priority="14" operator="between">
      <formula>2000</formula>
      <formula>6000</formula>
    </cfRule>
  </conditionalFormatting>
  <conditionalFormatting sqref="AD58:AD66">
    <cfRule type="cellIs" dxfId="6" priority="15" operator="greaterThan">
      <formula>70</formula>
    </cfRule>
  </conditionalFormatting>
  <conditionalFormatting sqref="AE58:AE66">
    <cfRule type="containsText" dxfId="5" priority="12" operator="containsText" text="REETHU">
      <formula>NOT(ISERROR(SEARCH("REETHU",AE58)))</formula>
    </cfRule>
  </conditionalFormatting>
  <conditionalFormatting sqref="AF58:AF66">
    <cfRule type="top10" dxfId="4" priority="10" rank="5"/>
  </conditionalFormatting>
  <conditionalFormatting sqref="AF57:AI57">
    <cfRule type="uniqueValues" dxfId="3" priority="11"/>
  </conditionalFormatting>
  <conditionalFormatting sqref="AG58:AG66">
    <cfRule type="aboveAverage" dxfId="2" priority="9"/>
  </conditionalFormatting>
  <conditionalFormatting sqref="AH58:AH66">
    <cfRule type="top10" dxfId="1" priority="8" bottom="1" rank="5"/>
  </conditionalFormatting>
  <conditionalFormatting sqref="AI58:AI66">
    <cfRule type="top10" dxfId="0" priority="7" percent="1" rank="10"/>
  </conditionalFormatting>
  <conditionalFormatting sqref="AK58:AK66">
    <cfRule type="colorScale" priority="5">
      <colorScale>
        <cfvo type="min"/>
        <cfvo type="max"/>
        <color rgb="FFFF7128"/>
        <color rgb="FFFFEF9C"/>
      </colorScale>
    </cfRule>
  </conditionalFormatting>
  <conditionalFormatting sqref="AM58:AM66">
    <cfRule type="iconSet" priority="6">
      <iconSet iconSet="3Arrows">
        <cfvo type="percent" val="0"/>
        <cfvo type="percent" val="33"/>
        <cfvo type="percent" val="67"/>
      </iconSet>
    </cfRule>
  </conditionalFormatting>
  <conditionalFormatting sqref="AN58:AN66">
    <cfRule type="colorScale" priority="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O58:AO66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{8752F469-47BA-4989-9F04-6F6B20B9817B}</x14:id>
        </ext>
      </extLst>
    </cfRule>
  </conditionalFormatting>
  <hyperlinks>
    <hyperlink ref="AF37" r:id="rId1" xr:uid="{7992F4B0-F013-49B9-A333-78EBE86522FE}"/>
  </hyperlinks>
  <pageMargins left="0.7" right="0.7" top="0.75" bottom="0.75" header="0.3" footer="0.3"/>
  <pageSetup orientation="portrait" r:id="rId2"/>
  <tableParts count="2">
    <tablePart r:id="rId3"/>
    <tablePart r:id="rId4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62164780-4105-4D40-B715-F64C76627610}">
            <x14:iconSet iconSet="3Stars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</x14:iconSet>
          </x14:cfRule>
          <xm:sqref>AK58:AK66</xm:sqref>
        </x14:conditionalFormatting>
        <x14:conditionalFormatting xmlns:xm="http://schemas.microsoft.com/office/excel/2006/main">
          <x14:cfRule type="dataBar" id="{8752F469-47BA-4989-9F04-6F6B20B9817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AO58:AO66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MITS</dc:creator>
  <cp:lastModifiedBy>MITS</cp:lastModifiedBy>
  <dcterms:created xsi:type="dcterms:W3CDTF">2026-06-02T04:21:47Z</dcterms:created>
  <dcterms:modified xsi:type="dcterms:W3CDTF">2026-06-06T06:40:29Z</dcterms:modified>
</cp:coreProperties>
</file>