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ulika veerapareddy\OneDrive\Documents\"/>
    </mc:Choice>
  </mc:AlternateContent>
  <xr:revisionPtr revIDLastSave="0" documentId="13_ncr:1_{30A3DD8C-5E6F-4A55-B275-7EC031B2278A}" xr6:coauthVersionLast="47" xr6:coauthVersionMax="47" xr10:uidLastSave="{00000000-0000-0000-0000-000000000000}"/>
  <bookViews>
    <workbookView xWindow="-110" yWindow="-110" windowWidth="19420" windowHeight="10300" xr2:uid="{217198E9-3528-4AE9-BDF4-22A9261F1235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" i="1" l="1"/>
  <c r="D42" i="1"/>
  <c r="D41" i="1"/>
  <c r="D40" i="1"/>
  <c r="D36" i="1"/>
  <c r="M35" i="1" s="1"/>
  <c r="D37" i="1"/>
  <c r="D38" i="1"/>
  <c r="D39" i="1"/>
  <c r="D37" i="2"/>
  <c r="D38" i="2"/>
  <c r="D39" i="2"/>
  <c r="D36" i="2"/>
  <c r="K18" i="1"/>
  <c r="R17" i="1" s="1"/>
  <c r="K19" i="1"/>
  <c r="K20" i="1"/>
  <c r="K21" i="1"/>
  <c r="K22" i="1"/>
  <c r="H2" i="1"/>
  <c r="H7" i="1"/>
  <c r="H3" i="1"/>
  <c r="H4" i="1"/>
  <c r="H5" i="1"/>
  <c r="H6" i="1"/>
  <c r="H8" i="1"/>
  <c r="H9" i="1"/>
  <c r="H10" i="1"/>
  <c r="H11" i="1"/>
  <c r="H12" i="1"/>
  <c r="V17" i="1" l="1"/>
</calcChain>
</file>

<file path=xl/sharedStrings.xml><?xml version="1.0" encoding="utf-8"?>
<sst xmlns="http://schemas.openxmlformats.org/spreadsheetml/2006/main" count="177" uniqueCount="126">
  <si>
    <t>Employee_ID</t>
  </si>
  <si>
    <t>Name</t>
  </si>
  <si>
    <t>Age</t>
  </si>
  <si>
    <t>Email</t>
  </si>
  <si>
    <t>Salary</t>
  </si>
  <si>
    <t>Join_Date</t>
  </si>
  <si>
    <t>Department</t>
  </si>
  <si>
    <t>E001</t>
  </si>
  <si>
    <t>Ravi Kumar</t>
  </si>
  <si>
    <t>ravi@gmail.com</t>
  </si>
  <si>
    <t>Sales</t>
  </si>
  <si>
    <t>E002</t>
  </si>
  <si>
    <t>Priya Sharma</t>
  </si>
  <si>
    <t>priya@gmail.com</t>
  </si>
  <si>
    <t>HR</t>
  </si>
  <si>
    <t>E003</t>
  </si>
  <si>
    <t>Arjun Reddy</t>
  </si>
  <si>
    <t>arjun@gmail.com</t>
  </si>
  <si>
    <t>IT</t>
  </si>
  <si>
    <t>E004</t>
  </si>
  <si>
    <t>Sneha Rao</t>
  </si>
  <si>
    <t>sneha.gmail.com</t>
  </si>
  <si>
    <t>Finance</t>
  </si>
  <si>
    <t>E005</t>
  </si>
  <si>
    <t>Kiran Das</t>
  </si>
  <si>
    <t>kiran@gmail.com</t>
  </si>
  <si>
    <t>Marketing</t>
  </si>
  <si>
    <t>E006</t>
  </si>
  <si>
    <t>Meena Patel</t>
  </si>
  <si>
    <t>meena@gmail.com</t>
  </si>
  <si>
    <t>31-02-2023</t>
  </si>
  <si>
    <t>E007</t>
  </si>
  <si>
    <t>E008</t>
  </si>
  <si>
    <t>John Paul</t>
  </si>
  <si>
    <t>john@gmail.com</t>
  </si>
  <si>
    <t>E009</t>
  </si>
  <si>
    <t>Anitha</t>
  </si>
  <si>
    <t>E010</t>
  </si>
  <si>
    <t>Suresh Naik</t>
  </si>
  <si>
    <t>suresh@gmail.com</t>
  </si>
  <si>
    <t>SRI RAMA NAGAR,517501, ANDHRA PRADESH.</t>
  </si>
  <si>
    <t>NTER</t>
  </si>
  <si>
    <t>MERGE CETER</t>
  </si>
  <si>
    <t>MERGE CELLS</t>
  </si>
  <si>
    <t>ERROE CHECK</t>
  </si>
  <si>
    <t>WRAP TEXT</t>
  </si>
  <si>
    <t>Ravi</t>
  </si>
  <si>
    <t>Kumar</t>
  </si>
  <si>
    <t>Priya</t>
  </si>
  <si>
    <t>Sharma</t>
  </si>
  <si>
    <t>Arjun</t>
  </si>
  <si>
    <t>Reddy</t>
  </si>
  <si>
    <t>Sneha</t>
  </si>
  <si>
    <t>Rao</t>
  </si>
  <si>
    <t>Kiran</t>
  </si>
  <si>
    <t>Das</t>
  </si>
  <si>
    <t>Meena</t>
  </si>
  <si>
    <t>Patel</t>
  </si>
  <si>
    <t>John</t>
  </si>
  <si>
    <t>Paul</t>
  </si>
  <si>
    <t>Suresh</t>
  </si>
  <si>
    <t>Naik</t>
  </si>
  <si>
    <t>SEP NAME AND SURNAME</t>
  </si>
  <si>
    <t>USES DATA=&gt;TEXT TO COLUMNS</t>
  </si>
  <si>
    <t>THIS IS ERROR CHECKING. TO ENABLE GO TO FILE=&gt;MORE=&gt;OPTIONS=&gt;FORMULA=&gt;CHECK ERROR CHECK</t>
  </si>
  <si>
    <t xml:space="preserve"> THIS IS DATA VALIDATION. IT DECIDES WHICH DATA TO ENTER. DATA TAB=&gt;DATA VALIDATION</t>
  </si>
  <si>
    <t>TEXT IN DATA VALIDATION</t>
  </si>
  <si>
    <t>REETHU</t>
  </si>
  <si>
    <t>CHOOSE LIST. AND SOURCE AS REETHU. SO U CAN ONLY ENTER REETHU. FOR LEFT EX WE CAN ENTER NUM BTWN 36, 87.</t>
  </si>
  <si>
    <t>WHAT IF ANALYSIS</t>
  </si>
  <si>
    <t>Student ID</t>
  </si>
  <si>
    <t>Student Name</t>
  </si>
  <si>
    <t>Gender</t>
  </si>
  <si>
    <t>Math</t>
  </si>
  <si>
    <t>Science</t>
  </si>
  <si>
    <t>English</t>
  </si>
  <si>
    <t>Social</t>
  </si>
  <si>
    <t>Computer</t>
  </si>
  <si>
    <t>Total</t>
  </si>
  <si>
    <t>S001</t>
  </si>
  <si>
    <t>M</t>
  </si>
  <si>
    <t>S002</t>
  </si>
  <si>
    <t>F</t>
  </si>
  <si>
    <t>S003</t>
  </si>
  <si>
    <t>S004</t>
  </si>
  <si>
    <t>Sneha Patel</t>
  </si>
  <si>
    <t>S005</t>
  </si>
  <si>
    <t>Kiran Rao</t>
  </si>
  <si>
    <t>BLANK</t>
  </si>
  <si>
    <t>PERCENTAGE</t>
  </si>
  <si>
    <t>FOR COMPUTER</t>
  </si>
  <si>
    <t>DATA TABLE</t>
  </si>
  <si>
    <t>goal</t>
  </si>
  <si>
    <t>scenario</t>
  </si>
  <si>
    <t>A</t>
  </si>
  <si>
    <t>B</t>
  </si>
  <si>
    <t>C</t>
  </si>
  <si>
    <t>D</t>
  </si>
  <si>
    <t>Product</t>
  </si>
  <si>
    <t>Price</t>
  </si>
  <si>
    <t>Quantity</t>
  </si>
  <si>
    <t>Total Cost</t>
  </si>
  <si>
    <t>Mobile</t>
  </si>
  <si>
    <t>Laptop</t>
  </si>
  <si>
    <t>Earbuds</t>
  </si>
  <si>
    <t>Keyboard</t>
  </si>
  <si>
    <t>E</t>
  </si>
  <si>
    <t>pass</t>
  </si>
  <si>
    <t>banglore</t>
  </si>
  <si>
    <t>hyd</t>
  </si>
  <si>
    <t>hello,2000</t>
  </si>
  <si>
    <t>ree</t>
  </si>
  <si>
    <t>juuu</t>
  </si>
  <si>
    <t>DATA VALIDATION</t>
  </si>
  <si>
    <t>MACROS</t>
  </si>
  <si>
    <t>ABSOLUTE AND RELATIVE MACROS</t>
  </si>
  <si>
    <t>RELATIVE MACRO</t>
  </si>
  <si>
    <t>ABSOLUTE MACRO OUTPUT</t>
  </si>
  <si>
    <t>Charger</t>
  </si>
  <si>
    <t>Board</t>
  </si>
  <si>
    <t>Case</t>
  </si>
  <si>
    <t>Relative Ref</t>
  </si>
  <si>
    <t>Result</t>
  </si>
  <si>
    <t>Address using Relative ref</t>
  </si>
  <si>
    <t>Camera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</si>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</sst>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hair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</borders>
  <cellStyleXfs count="16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3" applyNumberFormat="0" applyFill="0" applyAlignment="0" applyProtection="0"/>
    <xf numFmtId="0" fontId="1" fillId="6" borderId="0" applyNumberFormat="0" applyBorder="0" applyAlignment="0" applyProtection="0"/>
    <xf numFmtId="0" fontId="7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7" fillId="10" borderId="0" applyNumberFormat="0" applyBorder="0" applyAlignment="0" applyProtection="0"/>
    <xf numFmtId="0" fontId="1" fillId="11" borderId="0" applyNumberFormat="0" applyBorder="0" applyAlignment="0" applyProtection="0"/>
    <xf numFmtId="0" fontId="4" fillId="4" borderId="2" applyAlignment="0">
      <alignment horizontal="center" vertical="center" wrapText="1"/>
    </xf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</cellStyleXfs>
  <cellXfs count="38">
    <xf numFmtId="0" fontId="0" fillId="0" borderId="0" xfId="0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10" fontId="0" fillId="0" borderId="0" xfId="0" applyNumberFormat="1"/>
    <xf numFmtId="0" fontId="1" fillId="5" borderId="0" xfId="3" applyAlignment="1">
      <alignment horizontal="center" vertical="center" wrapText="1"/>
    </xf>
    <xf numFmtId="0" fontId="3" fillId="2" borderId="0" xfId="2"/>
    <xf numFmtId="0" fontId="1" fillId="6" borderId="0" xfId="5" applyAlignment="1">
      <alignment vertical="center" wrapText="1"/>
    </xf>
    <xf numFmtId="0" fontId="1" fillId="8" borderId="0" xfId="7" applyAlignment="1">
      <alignment wrapText="1"/>
    </xf>
    <xf numFmtId="0" fontId="1" fillId="11" borderId="0" xfId="10" applyAlignment="1">
      <alignment wrapText="1"/>
    </xf>
    <xf numFmtId="0" fontId="1" fillId="9" borderId="0" xfId="8" applyAlignment="1">
      <alignment wrapText="1"/>
    </xf>
    <xf numFmtId="0" fontId="1" fillId="11" borderId="0" xfId="10"/>
    <xf numFmtId="0" fontId="7" fillId="7" borderId="0" xfId="6"/>
    <xf numFmtId="0" fontId="6" fillId="7" borderId="3" xfId="4" applyFill="1" applyAlignment="1">
      <alignment horizontal="center" vertical="center"/>
    </xf>
    <xf numFmtId="0" fontId="7" fillId="10" borderId="0" xfId="9"/>
    <xf numFmtId="0" fontId="1" fillId="8" borderId="0" xfId="7" applyAlignment="1">
      <alignment horizontal="center" vertical="center" wrapText="1"/>
    </xf>
    <xf numFmtId="0" fontId="1" fillId="8" borderId="0" xfId="7"/>
    <xf numFmtId="0" fontId="1" fillId="15" borderId="4" xfId="15" applyNumberFormat="1" applyBorder="1"/>
    <xf numFmtId="0" fontId="1" fillId="13" borderId="0" xfId="13" applyAlignment="1">
      <alignment vertical="center" wrapText="1"/>
    </xf>
    <xf numFmtId="0" fontId="1" fillId="13" borderId="0" xfId="13"/>
    <xf numFmtId="0" fontId="1" fillId="6" borderId="5" xfId="5" applyBorder="1" applyAlignment="1">
      <alignment horizontal="center" vertical="center" wrapText="1"/>
    </xf>
    <xf numFmtId="0" fontId="1" fillId="6" borderId="6" xfId="5" applyBorder="1" applyAlignment="1">
      <alignment horizontal="center" vertical="center" wrapText="1"/>
    </xf>
    <xf numFmtId="0" fontId="1" fillId="6" borderId="6" xfId="5" applyBorder="1"/>
    <xf numFmtId="0" fontId="1" fillId="12" borderId="4" xfId="12" applyBorder="1" applyAlignment="1">
      <alignment vertical="center" wrapText="1"/>
    </xf>
    <xf numFmtId="0" fontId="1" fillId="12" borderId="4" xfId="12" applyBorder="1" applyAlignment="1">
      <alignment horizontal="center" vertical="center" wrapText="1"/>
    </xf>
    <xf numFmtId="14" fontId="1" fillId="12" borderId="4" xfId="12" applyNumberFormat="1" applyBorder="1" applyAlignment="1">
      <alignment vertical="center" wrapText="1"/>
    </xf>
    <xf numFmtId="0" fontId="1" fillId="12" borderId="4" xfId="12" applyBorder="1"/>
    <xf numFmtId="0" fontId="1" fillId="12" borderId="4" xfId="12" applyBorder="1" applyAlignment="1">
      <alignment wrapText="1"/>
    </xf>
    <xf numFmtId="0" fontId="1" fillId="12" borderId="4" xfId="12" applyBorder="1" applyAlignment="1">
      <alignment wrapText="1"/>
    </xf>
    <xf numFmtId="0" fontId="2" fillId="2" borderId="0" xfId="1" applyFill="1" applyBorder="1"/>
    <xf numFmtId="0" fontId="1" fillId="5" borderId="4" xfId="3" applyBorder="1" applyAlignment="1">
      <alignment horizontal="center" vertical="center" wrapText="1"/>
    </xf>
    <xf numFmtId="0" fontId="1" fillId="13" borderId="4" xfId="13" applyBorder="1" applyAlignment="1">
      <alignment vertical="center" wrapText="1"/>
    </xf>
    <xf numFmtId="10" fontId="1" fillId="13" borderId="4" xfId="13" applyNumberFormat="1" applyBorder="1" applyAlignment="1">
      <alignment vertical="center" wrapText="1"/>
    </xf>
    <xf numFmtId="0" fontId="1" fillId="13" borderId="4" xfId="13" applyBorder="1"/>
    <xf numFmtId="0" fontId="2" fillId="3" borderId="0" xfId="1" applyFill="1" applyBorder="1"/>
    <xf numFmtId="0" fontId="1" fillId="14" borderId="7" xfId="14" applyBorder="1"/>
    <xf numFmtId="0" fontId="2" fillId="5" borderId="0" xfId="1" applyFill="1" applyBorder="1" applyAlignment="1">
      <alignment horizontal="center"/>
    </xf>
    <xf numFmtId="0" fontId="1" fillId="15" borderId="7" xfId="15" applyBorder="1"/>
  </cellXfs>
  <cellStyles count="16">
    <cellStyle name="20% - Accent1" xfId="12" builtinId="30"/>
    <cellStyle name="20% - Accent2" xfId="13" builtinId="34"/>
    <cellStyle name="20% - Accent5" xfId="14" builtinId="46"/>
    <cellStyle name="20% - Accent6" xfId="15" builtinId="50"/>
    <cellStyle name="40% - Accent1" xfId="5" builtinId="31"/>
    <cellStyle name="40% - Accent2" xfId="3" builtinId="35"/>
    <cellStyle name="60% - Accent2" xfId="7" builtinId="36"/>
    <cellStyle name="60% - Accent3" xfId="8" builtinId="40"/>
    <cellStyle name="60% - Accent6" xfId="10" builtinId="52"/>
    <cellStyle name="Accent2" xfId="6" builtinId="33"/>
    <cellStyle name="Accent4" xfId="9" builtinId="41"/>
    <cellStyle name="Good" xfId="2" builtinId="26"/>
    <cellStyle name="Heading 1" xfId="1" builtinId="16"/>
    <cellStyle name="Heading 2" xfId="4" builtinId="17"/>
    <cellStyle name="Normal" xfId="0" builtinId="0"/>
    <cellStyle name="Style 1" xfId="11" xr:uid="{870CF19E-0261-4C73-8EC2-501CA37E9F65}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577850</xdr:colOff>
      <xdr:row>1</xdr:row>
      <xdr:rowOff>12700</xdr:rowOff>
    </xdr:from>
    <xdr:to>
      <xdr:col>15</xdr:col>
      <xdr:colOff>260350</xdr:colOff>
      <xdr:row>1</xdr:row>
      <xdr:rowOff>330200</xdr:rowOff>
    </xdr:to>
    <xdr:sp macro="" textlink="">
      <xdr:nvSpPr>
        <xdr:cNvPr id="2" name="Arrow: Left-Up 1">
          <a:extLst>
            <a:ext uri="{FF2B5EF4-FFF2-40B4-BE49-F238E27FC236}">
              <a16:creationId xmlns:a16="http://schemas.microsoft.com/office/drawing/2014/main" id="{5C36E371-A58A-32B6-EC3C-4231CBBE4146}"/>
            </a:ext>
          </a:extLst>
        </xdr:cNvPr>
        <xdr:cNvSpPr/>
      </xdr:nvSpPr>
      <xdr:spPr>
        <a:xfrm>
          <a:off x="8731250" y="946150"/>
          <a:ext cx="901700" cy="317500"/>
        </a:xfrm>
        <a:prstGeom prst="left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444500</xdr:colOff>
      <xdr:row>42</xdr:row>
      <xdr:rowOff>158750</xdr:rowOff>
    </xdr:from>
    <xdr:to>
      <xdr:col>6</xdr:col>
      <xdr:colOff>25400</xdr:colOff>
      <xdr:row>45</xdr:row>
      <xdr:rowOff>50800</xdr:rowOff>
    </xdr:to>
    <xdr:sp macro="" textlink="">
      <xdr:nvSpPr>
        <xdr:cNvPr id="3" name="Arrow: Bent 2">
          <a:extLst>
            <a:ext uri="{FF2B5EF4-FFF2-40B4-BE49-F238E27FC236}">
              <a16:creationId xmlns:a16="http://schemas.microsoft.com/office/drawing/2014/main" id="{241CF667-B1CE-03C9-B8F0-ED6AF43C463E}"/>
            </a:ext>
          </a:extLst>
        </xdr:cNvPr>
        <xdr:cNvSpPr/>
      </xdr:nvSpPr>
      <xdr:spPr>
        <a:xfrm>
          <a:off x="3492500" y="18802350"/>
          <a:ext cx="190500" cy="444500"/>
        </a:xfrm>
        <a:prstGeom prst="ben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EBF59B-088D-424F-8A89-C5D458C8DEAE}" name="Table1" displayName="Table1" ref="A34:G46" totalsRowShown="0" headerRowDxfId="0">
  <autoFilter ref="A34:G46" xr:uid="{A1EBF59B-088D-424F-8A89-C5D458C8DEAE}"/>
  <tableColumns count="7">
    <tableColumn id="1" xr3:uid="{C9E93EEF-3C7A-4870-8CA6-8BA6691EFE1E}" name="A"/>
    <tableColumn id="2" xr3:uid="{3B8A1C82-A432-42EA-9657-EDB250D43159}" name="B"/>
    <tableColumn id="3" xr3:uid="{7BA9BD7C-6858-4709-9245-7BBB59574528}" name="C"/>
    <tableColumn id="4" xr3:uid="{4E178ABB-5A07-4984-BC6D-A1BB0500B424}" name="D"/>
    <tableColumn id="5" xr3:uid="{DA19770A-499C-4BA2-9A77-A5F24AA555CA}" name="E"/>
    <tableColumn id="6" xr3:uid="{D4FC0E9E-22E5-4815-B9AF-E91B16509814}" name="F"/>
    <tableColumn id="7" xr3:uid="{24BBD04A-8761-4F6D-95B2-D1B91652FE3B}" name="Column1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C84D0F-008D-4E70-9407-588312F6E73D}" name="Table2" displayName="Table2" ref="A34:D39" totalsRowShown="0" headerRowDxfId="6" dataDxfId="5">
  <autoFilter ref="A34:D39" xr:uid="{CAC84D0F-008D-4E70-9407-588312F6E73D}"/>
  <tableColumns count="4">
    <tableColumn id="1" xr3:uid="{C2D2E853-A780-4C4B-A37B-B4AAD648181E}" name="A" dataDxfId="4"/>
    <tableColumn id="2" xr3:uid="{74C04D0E-D6FC-49FF-A0BA-A6498D42D75D}" name="B" dataDxfId="3"/>
    <tableColumn id="3" xr3:uid="{3FAE776D-05C2-4E7D-8BAD-AC738D83DD4E}" name="C" dataDxfId="2"/>
    <tableColumn id="4" xr3:uid="{F4FC4B9F-FBBC-4333-A67B-59F6AAD20D4F}" name="D" dataDxfId="1">
      <calculatedColumnFormula>PRODUCT(B35,C35)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uresh@gmail.com" TargetMode="External"/><Relationship Id="rId3" Type="http://schemas.openxmlformats.org/officeDocument/2006/relationships/hyperlink" Target="mailto:arjun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priya@gmail.com" TargetMode="External"/><Relationship Id="rId1" Type="http://schemas.openxmlformats.org/officeDocument/2006/relationships/hyperlink" Target="mailto:ravi@gmail.com" TargetMode="External"/><Relationship Id="rId6" Type="http://schemas.openxmlformats.org/officeDocument/2006/relationships/hyperlink" Target="mailto:ravi@gmail.com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meena@gmail.co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kiran@gmail.co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091B5-07A5-4093-B2B1-EBC0C5F21176}">
  <dimension ref="A1:V46"/>
  <sheetViews>
    <sheetView tabSelected="1" topLeftCell="A31" workbookViewId="0">
      <selection activeCell="I43" sqref="I43"/>
    </sheetView>
  </sheetViews>
  <sheetFormatPr defaultRowHeight="14.5" x14ac:dyDescent="0.35"/>
  <cols>
    <col min="3" max="4" width="8.81640625" bestFit="1" customWidth="1"/>
    <col min="5" max="5" width="8.90625" bestFit="1" customWidth="1"/>
    <col min="6" max="6" width="10.08984375" bestFit="1" customWidth="1"/>
    <col min="7" max="7" width="10.26953125" customWidth="1"/>
    <col min="8" max="8" width="8.90625" bestFit="1" customWidth="1"/>
    <col min="9" max="10" width="8.81640625" bestFit="1" customWidth="1"/>
    <col min="11" max="11" width="11.36328125" bestFit="1" customWidth="1"/>
    <col min="12" max="12" width="12" customWidth="1"/>
    <col min="13" max="13" width="8.81640625" bestFit="1" customWidth="1"/>
  </cols>
  <sheetData>
    <row r="1" spans="1:22" ht="58.5" thickTop="1" x14ac:dyDescent="0.3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44</v>
      </c>
      <c r="I1" s="21" t="s">
        <v>45</v>
      </c>
      <c r="J1" s="21" t="s">
        <v>43</v>
      </c>
      <c r="K1" s="21" t="s">
        <v>62</v>
      </c>
      <c r="L1" s="22"/>
      <c r="M1" s="22"/>
      <c r="N1" s="21" t="s">
        <v>66</v>
      </c>
      <c r="P1" s="11" t="s">
        <v>113</v>
      </c>
      <c r="Q1" s="11"/>
    </row>
    <row r="2" spans="1:22" ht="101.5" customHeight="1" x14ac:dyDescent="0.35">
      <c r="A2" s="23" t="s">
        <v>7</v>
      </c>
      <c r="B2" s="23" t="s">
        <v>8</v>
      </c>
      <c r="C2" s="24">
        <v>-5</v>
      </c>
      <c r="D2" s="23" t="s">
        <v>9</v>
      </c>
      <c r="E2" s="23">
        <v>35000</v>
      </c>
      <c r="F2" s="25">
        <v>44938</v>
      </c>
      <c r="G2" s="23" t="s">
        <v>10</v>
      </c>
      <c r="H2" s="26">
        <f>C2/E2</f>
        <v>-1.4285714285714287E-4</v>
      </c>
      <c r="I2" s="27" t="s">
        <v>40</v>
      </c>
      <c r="J2" s="27"/>
      <c r="K2" s="23" t="s">
        <v>46</v>
      </c>
      <c r="L2" s="28" t="s">
        <v>47</v>
      </c>
      <c r="M2" s="28">
        <v>87</v>
      </c>
      <c r="N2" s="26" t="s">
        <v>67</v>
      </c>
    </row>
    <row r="3" spans="1:22" ht="29" x14ac:dyDescent="0.35">
      <c r="A3" s="23" t="s">
        <v>11</v>
      </c>
      <c r="B3" s="23" t="s">
        <v>12</v>
      </c>
      <c r="C3" s="24">
        <v>22</v>
      </c>
      <c r="D3" s="23" t="s">
        <v>13</v>
      </c>
      <c r="E3" s="23">
        <v>42000</v>
      </c>
      <c r="F3" s="25">
        <v>44635</v>
      </c>
      <c r="G3" s="23" t="s">
        <v>14</v>
      </c>
      <c r="H3" s="26">
        <f t="shared" ref="H3:H12" si="0">C3/E3</f>
        <v>5.2380952380952383E-4</v>
      </c>
      <c r="I3" s="28"/>
      <c r="J3" s="28"/>
      <c r="K3" s="23" t="s">
        <v>48</v>
      </c>
      <c r="L3" s="26" t="s">
        <v>49</v>
      </c>
      <c r="M3" s="26">
        <v>56</v>
      </c>
      <c r="N3" s="26" t="s">
        <v>67</v>
      </c>
    </row>
    <row r="4" spans="1:22" ht="29" x14ac:dyDescent="0.35">
      <c r="A4" s="23" t="s">
        <v>15</v>
      </c>
      <c r="B4" s="23" t="s">
        <v>16</v>
      </c>
      <c r="C4" s="24">
        <v>24</v>
      </c>
      <c r="D4" s="23" t="s">
        <v>17</v>
      </c>
      <c r="E4" s="23">
        <v>38000</v>
      </c>
      <c r="F4" s="25">
        <v>45066</v>
      </c>
      <c r="G4" s="23" t="s">
        <v>18</v>
      </c>
      <c r="H4" s="26">
        <f t="shared" si="0"/>
        <v>6.3157894736842106E-4</v>
      </c>
      <c r="I4" s="26"/>
      <c r="J4" s="26"/>
      <c r="K4" s="23" t="s">
        <v>50</v>
      </c>
      <c r="L4" s="26" t="s">
        <v>51</v>
      </c>
      <c r="M4" s="26">
        <v>67</v>
      </c>
      <c r="N4" s="26"/>
    </row>
    <row r="5" spans="1:22" ht="29" x14ac:dyDescent="0.35">
      <c r="A5" s="23" t="s">
        <v>19</v>
      </c>
      <c r="B5" s="23" t="s">
        <v>20</v>
      </c>
      <c r="C5" s="24">
        <v>25</v>
      </c>
      <c r="D5" s="23" t="s">
        <v>21</v>
      </c>
      <c r="E5" s="23">
        <v>45000</v>
      </c>
      <c r="F5" s="25">
        <v>44402</v>
      </c>
      <c r="G5" s="23" t="s">
        <v>22</v>
      </c>
      <c r="H5" s="26">
        <f t="shared" si="0"/>
        <v>5.5555555555555556E-4</v>
      </c>
      <c r="I5" s="26"/>
      <c r="J5" s="26"/>
      <c r="K5" s="23" t="s">
        <v>52</v>
      </c>
      <c r="L5" s="26" t="s">
        <v>53</v>
      </c>
      <c r="M5" s="26">
        <v>56</v>
      </c>
      <c r="N5" s="26"/>
    </row>
    <row r="6" spans="1:22" ht="29" x14ac:dyDescent="0.35">
      <c r="A6" s="23" t="s">
        <v>23</v>
      </c>
      <c r="B6" s="23" t="s">
        <v>24</v>
      </c>
      <c r="C6" s="24">
        <v>25</v>
      </c>
      <c r="D6" s="23" t="s">
        <v>25</v>
      </c>
      <c r="E6" s="23">
        <v>0</v>
      </c>
      <c r="F6" s="25">
        <v>45545</v>
      </c>
      <c r="G6" s="23" t="s">
        <v>26</v>
      </c>
      <c r="H6" s="26" t="e">
        <f t="shared" si="0"/>
        <v>#DIV/0!</v>
      </c>
      <c r="I6" s="26"/>
      <c r="J6" s="26"/>
      <c r="K6" s="23" t="s">
        <v>54</v>
      </c>
      <c r="L6" s="26" t="s">
        <v>55</v>
      </c>
      <c r="M6" s="26"/>
      <c r="N6" s="26"/>
    </row>
    <row r="7" spans="1:22" ht="43.5" x14ac:dyDescent="0.35">
      <c r="A7" s="23" t="s">
        <v>27</v>
      </c>
      <c r="B7" s="23" t="s">
        <v>28</v>
      </c>
      <c r="C7" s="24">
        <v>27</v>
      </c>
      <c r="D7" s="23" t="s">
        <v>29</v>
      </c>
      <c r="E7" s="23">
        <v>41000</v>
      </c>
      <c r="F7" s="23" t="s">
        <v>30</v>
      </c>
      <c r="G7" s="23" t="s">
        <v>14</v>
      </c>
      <c r="H7" s="26">
        <f t="shared" si="0"/>
        <v>6.585365853658537E-4</v>
      </c>
      <c r="I7" s="26"/>
      <c r="J7" s="26"/>
      <c r="K7" s="23" t="s">
        <v>56</v>
      </c>
      <c r="L7" s="26" t="s">
        <v>57</v>
      </c>
      <c r="M7" s="26"/>
      <c r="N7" s="26"/>
    </row>
    <row r="8" spans="1:22" ht="29" x14ac:dyDescent="0.35">
      <c r="A8" s="23" t="s">
        <v>31</v>
      </c>
      <c r="B8" s="23" t="s">
        <v>8</v>
      </c>
      <c r="C8" s="24">
        <v>28</v>
      </c>
      <c r="D8" s="23" t="s">
        <v>9</v>
      </c>
      <c r="E8" s="23">
        <v>35000</v>
      </c>
      <c r="F8" s="25">
        <v>44938</v>
      </c>
      <c r="G8" s="23" t="s">
        <v>10</v>
      </c>
      <c r="H8" s="26">
        <f t="shared" si="0"/>
        <v>8.0000000000000004E-4</v>
      </c>
      <c r="I8" s="26"/>
      <c r="J8" s="26"/>
      <c r="K8" s="23" t="s">
        <v>46</v>
      </c>
      <c r="L8" s="26" t="s">
        <v>47</v>
      </c>
      <c r="M8" s="26"/>
      <c r="N8" s="26"/>
    </row>
    <row r="9" spans="1:22" ht="29" x14ac:dyDescent="0.35">
      <c r="A9" s="23" t="s">
        <v>32</v>
      </c>
      <c r="B9" s="23" t="s">
        <v>33</v>
      </c>
      <c r="C9" s="24">
        <v>29</v>
      </c>
      <c r="D9" s="23" t="s">
        <v>34</v>
      </c>
      <c r="E9" s="23">
        <v>50000</v>
      </c>
      <c r="F9" s="25">
        <v>44717</v>
      </c>
      <c r="G9" s="23" t="s">
        <v>18</v>
      </c>
      <c r="H9" s="26">
        <f t="shared" si="0"/>
        <v>5.8E-4</v>
      </c>
      <c r="I9" s="26"/>
      <c r="J9" s="26"/>
      <c r="K9" s="23" t="s">
        <v>58</v>
      </c>
      <c r="L9" s="26" t="s">
        <v>59</v>
      </c>
      <c r="M9" s="26"/>
      <c r="N9" s="26"/>
    </row>
    <row r="10" spans="1:22" x14ac:dyDescent="0.35">
      <c r="A10" s="23" t="s">
        <v>35</v>
      </c>
      <c r="B10" s="23" t="s">
        <v>36</v>
      </c>
      <c r="C10" s="24">
        <v>30</v>
      </c>
      <c r="D10" s="23"/>
      <c r="E10" s="23">
        <v>43000</v>
      </c>
      <c r="F10" s="25">
        <v>45156</v>
      </c>
      <c r="G10" s="23" t="s">
        <v>22</v>
      </c>
      <c r="H10" s="26">
        <f t="shared" si="0"/>
        <v>6.9767441860465117E-4</v>
      </c>
      <c r="I10" s="26"/>
      <c r="J10" s="26"/>
      <c r="K10" s="23" t="s">
        <v>36</v>
      </c>
      <c r="L10" s="26"/>
      <c r="M10" s="26"/>
      <c r="N10" s="26"/>
    </row>
    <row r="11" spans="1:22" ht="43.5" x14ac:dyDescent="0.35">
      <c r="A11" s="23" t="s">
        <v>37</v>
      </c>
      <c r="B11" s="23" t="s">
        <v>38</v>
      </c>
      <c r="C11" s="23">
        <v>150</v>
      </c>
      <c r="D11" s="23" t="s">
        <v>39</v>
      </c>
      <c r="E11" s="23">
        <v>-10000</v>
      </c>
      <c r="F11" s="25">
        <v>45607</v>
      </c>
      <c r="G11" s="23" t="s">
        <v>10</v>
      </c>
      <c r="H11" s="26">
        <f t="shared" si="0"/>
        <v>-1.4999999999999999E-2</v>
      </c>
      <c r="I11" s="26"/>
      <c r="J11" s="26"/>
      <c r="K11" s="23" t="s">
        <v>60</v>
      </c>
      <c r="L11" s="26" t="s">
        <v>61</v>
      </c>
      <c r="M11" s="26"/>
      <c r="N11" s="26"/>
    </row>
    <row r="12" spans="1:22" ht="261" x14ac:dyDescent="0.35">
      <c r="C12" t="s">
        <v>42</v>
      </c>
      <c r="D12" t="s">
        <v>41</v>
      </c>
      <c r="E12" s="2"/>
      <c r="H12" t="e">
        <f t="shared" si="0"/>
        <v>#VALUE!</v>
      </c>
      <c r="K12" s="7" t="s">
        <v>63</v>
      </c>
      <c r="M12" s="8" t="s">
        <v>65</v>
      </c>
      <c r="N12" s="9" t="s">
        <v>68</v>
      </c>
      <c r="O12" s="3"/>
      <c r="P12" s="3"/>
      <c r="Q12" s="3"/>
      <c r="R12" s="3"/>
      <c r="S12" s="3"/>
      <c r="T12" s="3"/>
      <c r="U12" s="3"/>
      <c r="V12" s="3"/>
    </row>
    <row r="13" spans="1:22" ht="188.5" x14ac:dyDescent="0.35">
      <c r="E13" s="2"/>
      <c r="H13" s="10" t="s">
        <v>64</v>
      </c>
      <c r="I13" s="3"/>
      <c r="J13" s="3"/>
      <c r="K13" s="3"/>
      <c r="L13" s="3"/>
    </row>
    <row r="16" spans="1:22" ht="19.5" x14ac:dyDescent="0.45">
      <c r="H16" s="29" t="s">
        <v>69</v>
      </c>
      <c r="I16" s="29"/>
      <c r="J16" s="6"/>
      <c r="Q16" s="34" t="s">
        <v>91</v>
      </c>
      <c r="R16" s="34"/>
      <c r="U16" s="36" t="s">
        <v>90</v>
      </c>
      <c r="V16" s="36"/>
    </row>
    <row r="17" spans="1:22" ht="29" x14ac:dyDescent="0.35">
      <c r="A17" s="5" t="s">
        <v>70</v>
      </c>
      <c r="B17" s="5" t="s">
        <v>71</v>
      </c>
      <c r="C17" s="30" t="s">
        <v>72</v>
      </c>
      <c r="D17" s="30" t="s">
        <v>73</v>
      </c>
      <c r="E17" s="30" t="s">
        <v>74</v>
      </c>
      <c r="F17" s="30" t="s">
        <v>75</v>
      </c>
      <c r="G17" s="30" t="s">
        <v>76</v>
      </c>
      <c r="H17" s="30" t="s">
        <v>77</v>
      </c>
      <c r="I17" s="30" t="s">
        <v>78</v>
      </c>
      <c r="J17" s="30" t="s">
        <v>88</v>
      </c>
      <c r="K17" s="30" t="s">
        <v>89</v>
      </c>
      <c r="L17" s="1"/>
      <c r="O17" s="4"/>
      <c r="Q17" s="35"/>
      <c r="R17" s="35">
        <f>K18</f>
        <v>87.166666666666671</v>
      </c>
      <c r="U17" s="37"/>
      <c r="V17" s="37">
        <f>K18</f>
        <v>87.166666666666671</v>
      </c>
    </row>
    <row r="18" spans="1:22" ht="29" x14ac:dyDescent="0.35">
      <c r="A18" s="18" t="s">
        <v>79</v>
      </c>
      <c r="B18" s="18" t="s">
        <v>8</v>
      </c>
      <c r="C18" s="31" t="s">
        <v>80</v>
      </c>
      <c r="D18" s="31">
        <v>75</v>
      </c>
      <c r="E18" s="31">
        <v>90</v>
      </c>
      <c r="F18" s="31">
        <v>90</v>
      </c>
      <c r="G18" s="31">
        <v>90</v>
      </c>
      <c r="H18" s="31">
        <v>90</v>
      </c>
      <c r="I18" s="31">
        <v>433</v>
      </c>
      <c r="J18" s="31">
        <v>88</v>
      </c>
      <c r="K18" s="31">
        <f>AVERAGE(D18,E18,F18,G18,H18,J18)</f>
        <v>87.166666666666671</v>
      </c>
      <c r="L18" s="4"/>
      <c r="O18">
        <f t="dataTable" ref="O18:O22" dt2D="0" dtr="0" r1="J24"/>
        <v>0</v>
      </c>
      <c r="Q18" s="35">
        <v>88</v>
      </c>
      <c r="R18" s="35">
        <f t="dataTable" ref="R18:R22" dt2D="0" dtr="0" r1="J18"/>
        <v>87.166666666666671</v>
      </c>
      <c r="U18" s="37">
        <v>88</v>
      </c>
      <c r="V18" s="37">
        <f t="dataTable" ref="V18:V22" dt2D="0" dtr="0" r1="H18" ca="1"/>
        <v>86.833333333333329</v>
      </c>
    </row>
    <row r="19" spans="1:22" ht="36.5" customHeight="1" x14ac:dyDescent="0.35">
      <c r="A19" s="18" t="s">
        <v>81</v>
      </c>
      <c r="B19" s="18" t="s">
        <v>12</v>
      </c>
      <c r="C19" s="31" t="s">
        <v>82</v>
      </c>
      <c r="D19" s="31">
        <v>75</v>
      </c>
      <c r="E19" s="31">
        <v>89</v>
      </c>
      <c r="F19" s="31">
        <v>95</v>
      </c>
      <c r="G19" s="31">
        <v>91</v>
      </c>
      <c r="H19" s="31">
        <v>94</v>
      </c>
      <c r="I19" s="31">
        <v>461</v>
      </c>
      <c r="J19" s="32"/>
      <c r="K19" s="31">
        <f t="shared" ref="K19:K22" si="1">AVERAGE(D19,E19,F19,G19,H19,J19)</f>
        <v>88.8</v>
      </c>
      <c r="O19">
        <v>0</v>
      </c>
      <c r="Q19" s="35">
        <v>78</v>
      </c>
      <c r="R19" s="35">
        <v>85.5</v>
      </c>
      <c r="U19" s="37">
        <v>78</v>
      </c>
      <c r="V19" s="37">
        <v>85.166666666666671</v>
      </c>
    </row>
    <row r="20" spans="1:22" ht="29" x14ac:dyDescent="0.35">
      <c r="A20" s="18" t="s">
        <v>83</v>
      </c>
      <c r="B20" s="18" t="s">
        <v>16</v>
      </c>
      <c r="C20" s="31" t="s">
        <v>80</v>
      </c>
      <c r="D20" s="31">
        <v>77</v>
      </c>
      <c r="E20" s="31">
        <v>80</v>
      </c>
      <c r="F20" s="31">
        <v>72</v>
      </c>
      <c r="G20" s="31">
        <v>78</v>
      </c>
      <c r="H20" s="31">
        <v>85</v>
      </c>
      <c r="I20" s="31">
        <v>390</v>
      </c>
      <c r="J20" s="32"/>
      <c r="K20" s="31">
        <f t="shared" si="1"/>
        <v>78.400000000000006</v>
      </c>
      <c r="O20">
        <v>0</v>
      </c>
      <c r="Q20" s="35">
        <v>79</v>
      </c>
      <c r="R20" s="35">
        <v>85.666666666666671</v>
      </c>
      <c r="U20" s="37">
        <v>79</v>
      </c>
      <c r="V20" s="37">
        <v>85.333333333333329</v>
      </c>
    </row>
    <row r="21" spans="1:22" ht="29" x14ac:dyDescent="0.35">
      <c r="A21" s="18" t="s">
        <v>84</v>
      </c>
      <c r="B21" s="18" t="s">
        <v>85</v>
      </c>
      <c r="C21" s="31" t="s">
        <v>82</v>
      </c>
      <c r="D21" s="31">
        <v>87</v>
      </c>
      <c r="E21" s="31">
        <v>90</v>
      </c>
      <c r="F21" s="31">
        <v>84</v>
      </c>
      <c r="G21" s="31">
        <v>86</v>
      </c>
      <c r="H21" s="31">
        <v>89</v>
      </c>
      <c r="I21" s="31">
        <v>437</v>
      </c>
      <c r="J21" s="32"/>
      <c r="K21" s="31">
        <f t="shared" si="1"/>
        <v>87.2</v>
      </c>
      <c r="O21">
        <v>0</v>
      </c>
      <c r="Q21" s="35">
        <v>80</v>
      </c>
      <c r="R21" s="35">
        <v>85.833333333333329</v>
      </c>
      <c r="U21" s="37">
        <v>80</v>
      </c>
      <c r="V21" s="37">
        <v>85.5</v>
      </c>
    </row>
    <row r="22" spans="1:22" x14ac:dyDescent="0.35">
      <c r="A22" s="18" t="s">
        <v>86</v>
      </c>
      <c r="B22" s="18" t="s">
        <v>87</v>
      </c>
      <c r="C22" s="31" t="s">
        <v>80</v>
      </c>
      <c r="D22" s="31">
        <v>75</v>
      </c>
      <c r="E22" s="31">
        <v>70</v>
      </c>
      <c r="F22" s="31">
        <v>68</v>
      </c>
      <c r="G22" s="31">
        <v>72</v>
      </c>
      <c r="H22" s="31">
        <v>75</v>
      </c>
      <c r="I22" s="31">
        <v>350</v>
      </c>
      <c r="J22" s="32"/>
      <c r="K22" s="31">
        <f t="shared" si="1"/>
        <v>72</v>
      </c>
      <c r="O22">
        <v>0</v>
      </c>
      <c r="Q22" s="35">
        <v>89</v>
      </c>
      <c r="R22" s="35">
        <v>87.333333333333329</v>
      </c>
      <c r="U22" s="37">
        <v>89</v>
      </c>
      <c r="V22" s="37">
        <v>87</v>
      </c>
    </row>
    <row r="23" spans="1:22" x14ac:dyDescent="0.35">
      <c r="A23" s="19"/>
      <c r="B23" s="19"/>
      <c r="C23" s="33"/>
      <c r="D23" s="33" t="s">
        <v>93</v>
      </c>
      <c r="E23" s="33"/>
      <c r="F23" s="33"/>
      <c r="G23" s="33"/>
      <c r="H23" s="33"/>
      <c r="I23" s="33"/>
      <c r="J23" s="33" t="s">
        <v>92</v>
      </c>
      <c r="K23" s="33"/>
    </row>
    <row r="31" spans="1:22" ht="17.5" thickBot="1" x14ac:dyDescent="0.4">
      <c r="E31" s="13" t="s">
        <v>114</v>
      </c>
    </row>
    <row r="32" spans="1:22" ht="15" thickTop="1" x14ac:dyDescent="0.35"/>
    <row r="33" spans="1:13" x14ac:dyDescent="0.35">
      <c r="E33" s="14" t="s">
        <v>115</v>
      </c>
      <c r="F33" s="14"/>
      <c r="G33" s="14"/>
      <c r="H33" s="14"/>
    </row>
    <row r="34" spans="1:13" x14ac:dyDescent="0.35">
      <c r="A34" s="1" t="s">
        <v>94</v>
      </c>
      <c r="B34" s="1" t="s">
        <v>95</v>
      </c>
      <c r="C34" s="1" t="s">
        <v>96</v>
      </c>
      <c r="D34" s="1" t="s">
        <v>97</v>
      </c>
      <c r="E34" s="1" t="s">
        <v>106</v>
      </c>
      <c r="F34" s="1" t="s">
        <v>82</v>
      </c>
      <c r="G34" t="s">
        <v>125</v>
      </c>
      <c r="L34" s="15" t="s">
        <v>91</v>
      </c>
      <c r="M34" s="16"/>
    </row>
    <row r="35" spans="1:13" ht="58" x14ac:dyDescent="0.35">
      <c r="A35" s="2" t="s">
        <v>98</v>
      </c>
      <c r="B35" s="2" t="s">
        <v>99</v>
      </c>
      <c r="C35" s="2" t="s">
        <v>100</v>
      </c>
      <c r="D35" s="2" t="s">
        <v>101</v>
      </c>
      <c r="E35" s="1" t="s">
        <v>122</v>
      </c>
      <c r="F35" s="2" t="s">
        <v>123</v>
      </c>
      <c r="G35" s="2" t="s">
        <v>121</v>
      </c>
      <c r="L35" s="17"/>
      <c r="M35" s="17">
        <f>D36</f>
        <v>40000</v>
      </c>
    </row>
    <row r="36" spans="1:13" x14ac:dyDescent="0.35">
      <c r="A36" s="2" t="s">
        <v>102</v>
      </c>
      <c r="B36" s="2">
        <v>20000</v>
      </c>
      <c r="C36" s="2">
        <v>2</v>
      </c>
      <c r="D36" s="2">
        <f>PRODUCT(B36,C36)</f>
        <v>40000</v>
      </c>
      <c r="E36" t="s">
        <v>107</v>
      </c>
      <c r="F36" t="s">
        <v>108</v>
      </c>
      <c r="G36" t="s">
        <v>110</v>
      </c>
      <c r="L36" s="17">
        <v>10000</v>
      </c>
      <c r="M36" s="17">
        <f t="dataTable" ref="M36:M40" dt2D="0" dtr="0" r1="B36"/>
        <v>20000</v>
      </c>
    </row>
    <row r="37" spans="1:13" x14ac:dyDescent="0.35">
      <c r="A37" s="2" t="s">
        <v>103</v>
      </c>
      <c r="B37" s="2">
        <v>50000</v>
      </c>
      <c r="C37" s="2">
        <v>1</v>
      </c>
      <c r="D37" s="2">
        <f t="shared" ref="D37:D43" si="2">PRODUCT(B37,C37)</f>
        <v>50000</v>
      </c>
      <c r="E37" t="s">
        <v>107</v>
      </c>
      <c r="F37" t="s">
        <v>109</v>
      </c>
      <c r="G37" t="s">
        <v>110</v>
      </c>
      <c r="L37" s="17">
        <v>13000</v>
      </c>
      <c r="M37" s="17">
        <v>26000</v>
      </c>
    </row>
    <row r="38" spans="1:13" x14ac:dyDescent="0.35">
      <c r="A38" s="2" t="s">
        <v>104</v>
      </c>
      <c r="B38" s="2">
        <v>2000</v>
      </c>
      <c r="C38" s="2">
        <v>5</v>
      </c>
      <c r="D38" s="2">
        <f t="shared" si="2"/>
        <v>10000</v>
      </c>
      <c r="E38" t="s">
        <v>107</v>
      </c>
      <c r="F38" t="s">
        <v>108</v>
      </c>
      <c r="G38" t="s">
        <v>111</v>
      </c>
      <c r="L38" s="17">
        <v>15000</v>
      </c>
      <c r="M38" s="17">
        <v>30000</v>
      </c>
    </row>
    <row r="39" spans="1:13" x14ac:dyDescent="0.35">
      <c r="A39" s="2" t="s">
        <v>105</v>
      </c>
      <c r="B39" s="2">
        <v>1000</v>
      </c>
      <c r="C39" s="2">
        <v>3</v>
      </c>
      <c r="D39" s="2">
        <f t="shared" si="2"/>
        <v>3000</v>
      </c>
      <c r="E39" t="s">
        <v>107</v>
      </c>
      <c r="F39" t="s">
        <v>109</v>
      </c>
      <c r="G39" t="s">
        <v>112</v>
      </c>
      <c r="L39" s="17">
        <v>17000</v>
      </c>
      <c r="M39" s="17">
        <v>34000</v>
      </c>
    </row>
    <row r="40" spans="1:13" x14ac:dyDescent="0.35">
      <c r="A40" s="2" t="s">
        <v>118</v>
      </c>
      <c r="B40" s="2">
        <v>2000</v>
      </c>
      <c r="C40" s="2">
        <v>2</v>
      </c>
      <c r="D40" s="2">
        <f t="shared" si="2"/>
        <v>4000</v>
      </c>
      <c r="E40" t="s">
        <v>107</v>
      </c>
      <c r="F40" t="s">
        <v>108</v>
      </c>
      <c r="G40" t="s">
        <v>111</v>
      </c>
      <c r="L40" s="17">
        <v>21000</v>
      </c>
      <c r="M40" s="17">
        <v>42000</v>
      </c>
    </row>
    <row r="41" spans="1:13" x14ac:dyDescent="0.35">
      <c r="A41" s="2" t="s">
        <v>119</v>
      </c>
      <c r="B41" s="2">
        <v>100000</v>
      </c>
      <c r="C41" s="2">
        <v>1</v>
      </c>
      <c r="D41" s="2">
        <f t="shared" si="2"/>
        <v>100000</v>
      </c>
      <c r="E41" t="s">
        <v>107</v>
      </c>
      <c r="F41" t="s">
        <v>109</v>
      </c>
      <c r="G41" t="s">
        <v>112</v>
      </c>
    </row>
    <row r="42" spans="1:13" x14ac:dyDescent="0.35">
      <c r="A42" s="2" t="s">
        <v>120</v>
      </c>
      <c r="B42" s="2">
        <v>200</v>
      </c>
      <c r="C42" s="2">
        <v>1</v>
      </c>
      <c r="D42" s="2">
        <f t="shared" si="2"/>
        <v>200</v>
      </c>
      <c r="E42" t="s">
        <v>107</v>
      </c>
      <c r="F42" t="s">
        <v>108</v>
      </c>
      <c r="G42" t="s">
        <v>111</v>
      </c>
    </row>
    <row r="43" spans="1:13" x14ac:dyDescent="0.35">
      <c r="A43" s="2" t="s">
        <v>124</v>
      </c>
      <c r="B43" s="2">
        <v>20000</v>
      </c>
      <c r="C43" s="2">
        <v>4</v>
      </c>
      <c r="D43" s="2">
        <f t="shared" si="2"/>
        <v>80000</v>
      </c>
      <c r="E43" t="s">
        <v>107</v>
      </c>
      <c r="F43" t="s">
        <v>109</v>
      </c>
      <c r="G43" t="s">
        <v>112</v>
      </c>
    </row>
    <row r="44" spans="1:13" x14ac:dyDescent="0.35">
      <c r="G44" t="s">
        <v>111</v>
      </c>
    </row>
    <row r="45" spans="1:13" x14ac:dyDescent="0.35">
      <c r="G45" t="s">
        <v>112</v>
      </c>
    </row>
    <row r="46" spans="1:13" x14ac:dyDescent="0.35">
      <c r="E46" s="16" t="s">
        <v>116</v>
      </c>
      <c r="F46" s="16"/>
    </row>
  </sheetData>
  <scenarios current="3" show="3">
    <scenario name="EXC" locked="1" count="5" user="Moulika veerapareddy">
      <inputCells r="D18" val="90"/>
      <inputCells r="E18" val="90"/>
      <inputCells r="F18" val="90"/>
      <inputCells r="G18" val="90"/>
      <inputCells r="H18" val="90"/>
    </scenario>
    <scenario name="AVG" locked="1" count="5" user="Moulika veerapareddy" comment="Created by Moulika veerapareddy on 08-06-2026">
      <inputCells r="D18" val="75"/>
      <inputCells r="D19" val="75"/>
      <inputCells r="D20" val="77"/>
      <inputCells r="D21" val="87"/>
      <inputCells r="D22" val="75"/>
    </scenario>
    <scenario name="Price10000" locked="1" count="1" user="Moulika veerapareddy" comment="Created by Moulika veerapareddy on 08-06-2026">
      <inputCells r="B36" val="10000"/>
    </scenario>
    <scenario name="Price20000" locked="1" count="1" user="Moulika veerapareddy" comment="Created by Moulika veerapareddy on 08-06-2026">
      <inputCells r="B36" val="20000"/>
    </scenario>
  </scenarios>
  <sortState xmlns:xlrd2="http://schemas.microsoft.com/office/spreadsheetml/2017/richdata2" ref="C2:C11">
    <sortCondition ref="C2:C11"/>
  </sortState>
  <mergeCells count="2">
    <mergeCell ref="I2:J2"/>
    <mergeCell ref="U16:V16"/>
  </mergeCells>
  <dataValidations count="3">
    <dataValidation type="whole" allowBlank="1" showInputMessage="1" showErrorMessage="1" sqref="E2:E11" xr:uid="{2F5FF345-51F0-4F20-8C1A-12ACB88BF4D3}">
      <formula1>56</formula1>
      <formula2>90</formula2>
    </dataValidation>
    <dataValidation type="whole" allowBlank="1" showInputMessage="1" showErrorMessage="1" sqref="M1:M11" xr:uid="{B0DACEA7-28E6-4333-A212-B545B8420B11}">
      <formula1>34</formula1>
      <formula2>87</formula2>
    </dataValidation>
    <dataValidation type="list" allowBlank="1" showInputMessage="1" showErrorMessage="1" sqref="N2:N6" xr:uid="{95BC7F0F-918F-4FA5-98F7-D9B1046FFE1D}">
      <formula1>"REETHU"</formula1>
    </dataValidation>
  </dataValidations>
  <hyperlinks>
    <hyperlink ref="D2" r:id="rId1" display="mailto:ravi@gmail.com" xr:uid="{77FAD5F8-578C-48E6-AE02-4BD3415D6BB0}"/>
    <hyperlink ref="D3" r:id="rId2" display="mailto:priya@gmail.com" xr:uid="{1706AEA2-2AFA-473A-A5BB-3B9C5605721C}"/>
    <hyperlink ref="D4" r:id="rId3" display="mailto:arjun@gmail.com" xr:uid="{4D6CCE39-BC76-4E65-B252-4DA6115BF2E6}"/>
    <hyperlink ref="D6" r:id="rId4" display="mailto:kiran@gmail.com" xr:uid="{5DD9BF9E-2C02-4DF0-AA99-29CD1317B3AF}"/>
    <hyperlink ref="D7" r:id="rId5" display="mailto:meena@gmail.com" xr:uid="{F0241AC1-3831-41D0-8B9A-3CC295D15553}"/>
    <hyperlink ref="D8" r:id="rId6" display="mailto:ravi@gmail.com" xr:uid="{40849CC1-738C-4AD5-BFDD-B6EB7EC70CA4}"/>
    <hyperlink ref="D9" r:id="rId7" display="mailto:john@gmail.com" xr:uid="{35F773F9-133B-4CAB-9079-04F28237A639}"/>
    <hyperlink ref="D11" r:id="rId8" display="mailto:suresh@gmail.com" xr:uid="{9E472E6D-69FC-4AAA-AAA5-B0B8B6819886}"/>
  </hyperlinks>
  <pageMargins left="0.7" right="0.7" top="0.75" bottom="0.75" header="0.3" footer="0.3"/>
  <pageSetup orientation="portrait" r:id="rId9"/>
  <drawing r:id="rId10"/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769E-3894-4D8F-BB11-1095E72AAB07}">
  <dimension ref="A31:E39"/>
  <sheetViews>
    <sheetView topLeftCell="A23" workbookViewId="0">
      <selection activeCell="E35" sqref="E35"/>
    </sheetView>
  </sheetViews>
  <sheetFormatPr defaultRowHeight="14.5" x14ac:dyDescent="0.35"/>
  <sheetData>
    <row r="31" spans="3:5" x14ac:dyDescent="0.35">
      <c r="C31" s="12" t="s">
        <v>117</v>
      </c>
      <c r="D31" s="12"/>
      <c r="E31" s="12"/>
    </row>
    <row r="34" spans="1:4" x14ac:dyDescent="0.35">
      <c r="A34" s="1" t="s">
        <v>94</v>
      </c>
      <c r="B34" s="1" t="s">
        <v>95</v>
      </c>
      <c r="C34" s="1" t="s">
        <v>96</v>
      </c>
      <c r="D34" s="1" t="s">
        <v>97</v>
      </c>
    </row>
    <row r="35" spans="1:4" ht="29" x14ac:dyDescent="0.35">
      <c r="A35" s="2" t="s">
        <v>98</v>
      </c>
      <c r="B35" s="2" t="s">
        <v>99</v>
      </c>
      <c r="C35" s="2" t="s">
        <v>100</v>
      </c>
      <c r="D35" s="2" t="s">
        <v>101</v>
      </c>
    </row>
    <row r="36" spans="1:4" x14ac:dyDescent="0.35">
      <c r="A36" s="2" t="s">
        <v>67</v>
      </c>
      <c r="B36" s="2">
        <v>15000</v>
      </c>
      <c r="C36" s="2">
        <v>2</v>
      </c>
      <c r="D36" s="2">
        <f>PRODUCT(B36,C36)</f>
        <v>30000</v>
      </c>
    </row>
    <row r="37" spans="1:4" x14ac:dyDescent="0.35">
      <c r="A37" s="2" t="s">
        <v>103</v>
      </c>
      <c r="B37" s="2">
        <v>50000</v>
      </c>
      <c r="C37" s="2">
        <v>1</v>
      </c>
      <c r="D37" s="2">
        <f t="shared" ref="D37:D39" si="0">PRODUCT(B37,C37)</f>
        <v>50000</v>
      </c>
    </row>
    <row r="38" spans="1:4" x14ac:dyDescent="0.35">
      <c r="A38" s="2" t="s">
        <v>104</v>
      </c>
      <c r="B38" s="2">
        <v>2000</v>
      </c>
      <c r="C38" s="2">
        <v>5</v>
      </c>
      <c r="D38" s="2">
        <f t="shared" si="0"/>
        <v>10000</v>
      </c>
    </row>
    <row r="39" spans="1:4" x14ac:dyDescent="0.35">
      <c r="A39" s="2" t="s">
        <v>105</v>
      </c>
      <c r="B39" s="2">
        <v>1000</v>
      </c>
      <c r="C39" s="2">
        <v>3</v>
      </c>
      <c r="D39" s="2">
        <f t="shared" si="0"/>
        <v>3000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Reethika Veerapareddy</dc:creator>
  <cp:lastModifiedBy>Reethika Veerapareddy</cp:lastModifiedBy>
  <dcterms:created xsi:type="dcterms:W3CDTF">2026-06-08T04:36:59Z</dcterms:created>
  <dcterms:modified xsi:type="dcterms:W3CDTF">2026-06-09T04:52:10Z</dcterms:modified>
</cp:coreProperties>
</file>